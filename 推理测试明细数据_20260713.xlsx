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760" windowHeight="12620" tabRatio="712" firstSheet="11" activeTab="19"/>
  </bookViews>
  <sheets>
    <sheet name="PPUZW810E性能测试" sheetId="1" r:id="rId1"/>
    <sheet name="海光BW1000性能测试" sheetId="7" r:id="rId2"/>
    <sheet name="910B性能测试" sheetId="2" r:id="rId3"/>
    <sheet name="H200性能测试" sheetId="6" r:id="rId4"/>
    <sheet name="海光BW1000性能评测（第二次）" sheetId="24" r:id="rId5"/>
    <sheet name="沐曦C550性能测试" sheetId="9" r:id="rId6"/>
    <sheet name="沐曦C550(浪潮)性能测试" sheetId="11" r:id="rId7"/>
    <sheet name="昇腾910C（4物理卡）" sheetId="13" r:id="rId8"/>
    <sheet name="昇腾910C(8物理卡)" sheetId="25" r:id="rId9"/>
    <sheet name="摩尔S5000性能测试" sheetId="12" r:id="rId10"/>
    <sheet name="PPUZW80E_多机多卡" sheetId="8" r:id="rId11"/>
    <sheet name="对比" sheetId="3" r:id="rId12"/>
    <sheet name="适配性测试" sheetId="4" r:id="rId13"/>
    <sheet name="910B能耗测试" sheetId="10" r:id="rId14"/>
    <sheet name="昆仑芯P800性能测试" sheetId="15" r:id="rId15"/>
    <sheet name="寒武纪MLU590-M9DK性能测试" sheetId="19" r:id="rId16"/>
    <sheet name="寒武纪MLU590-M9DK dsv4-pro性能测试" sheetId="20" r:id="rId17"/>
    <sheet name="昆仑芯P800 1P1D性能测试" sheetId="22" r:id="rId18"/>
    <sheet name="Qwen3.8-27B 910B压测" sheetId="27" r:id="rId19"/>
    <sheet name="Qwen3.8-27B 910B MTP" sheetId="29" r:id="rId20"/>
  </sheets>
  <definedNames>
    <definedName name="_xlnm._FilterDatabase" localSheetId="0" hidden="1">PPUZW810E性能测试!$A$1:$K$58</definedName>
    <definedName name="_xlnm._FilterDatabase" localSheetId="14" hidden="1">昆仑芯P800性能测试!$A$1:$L$58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<sst xmlns="http://schemas.openxmlformats.org/spreadsheetml/2006/main" count="1174" uniqueCount="422">
  <si>
    <t>场景</t>
  </si>
  <si>
    <t>输入长度</t>
  </si>
  <si>
    <t>输出长度</t>
  </si>
  <si>
    <t>concurrency</t>
  </si>
  <si>
    <t>request_count</t>
  </si>
  <si>
    <t>每秒完成请求数</t>
  </si>
  <si>
    <t>输出token吞吐/s</t>
  </si>
  <si>
    <t>总token吞吐/s</t>
  </si>
  <si>
    <t>TTFT</t>
  </si>
  <si>
    <t>TPOT</t>
  </si>
  <si>
    <t>每秒生成token数</t>
  </si>
  <si>
    <t>file</t>
  </si>
  <si>
    <t>target_num_prompts</t>
  </si>
  <si>
    <t>i1024_o1024_c2_n32.jsonl</t>
  </si>
  <si>
    <t>i1024_o1024_c4_n32.jsonl</t>
  </si>
  <si>
    <t>i1024_o1024_c8_n32.jsonl</t>
  </si>
  <si>
    <t>i1024_o1024_c16_n64.jsonl</t>
  </si>
  <si>
    <t>i1024_o1024_c32_n128.jsonl</t>
  </si>
  <si>
    <t>i1024_o1024_c64_n256.jsonl</t>
  </si>
  <si>
    <t>i1024_o1024_c128_n512.jsonl</t>
  </si>
  <si>
    <t>i1024_o1024_c256_n1024.jsonl</t>
  </si>
  <si>
    <t>i1024_o1024_c512_n2048.jsonl</t>
  </si>
  <si>
    <t>i1024_o16384_c2_n8.jsonl</t>
  </si>
  <si>
    <t>i8192_o1024_c2_n32.jsonl</t>
  </si>
  <si>
    <t>i8192_o1024_c4_n32.jsonl</t>
  </si>
  <si>
    <t>i8192_o1024_c8_n32.jsonl</t>
  </si>
  <si>
    <t>i8192_o1024_c16_n64.jsonl</t>
  </si>
  <si>
    <t>i8192_o1024_c32_n128.jsonl</t>
  </si>
  <si>
    <t>i8192_o1024_c64_n256.jsonl</t>
  </si>
  <si>
    <t>i8192_o1024_c128_n512.jsonl</t>
  </si>
  <si>
    <t>i8192_o1024_c256_n1024.jsonl</t>
  </si>
  <si>
    <t>i32768_o1024_c2_n32.jsonl</t>
  </si>
  <si>
    <t>i32768_o1024_c4_n32.jsonl</t>
  </si>
  <si>
    <t>i32768_o1024_c8_n32.jsonl</t>
  </si>
  <si>
    <t>i32768_o1024_c16_n64.jsonl</t>
  </si>
  <si>
    <t>i32768_o1024_c32_n128.jsonl</t>
  </si>
  <si>
    <t>i32768_o1024_c64_n256.jsonl</t>
  </si>
  <si>
    <t>sign</t>
  </si>
  <si>
    <t>i1024_o1024_c1_n32.json</t>
  </si>
  <si>
    <t>i1024_o1024_c2_n32.json</t>
  </si>
  <si>
    <t>i1024_o1024_c4_n32.json</t>
  </si>
  <si>
    <t>i1024_o1024_c8_n32.json</t>
  </si>
  <si>
    <t>i1024_o1024_c16_n64.json</t>
  </si>
  <si>
    <t>i1024_o1024_c32_n128.json</t>
  </si>
  <si>
    <t>i1024_o1024_c64_n256.json</t>
  </si>
  <si>
    <t>i1024_o1024_c128_n512.json</t>
  </si>
  <si>
    <t>i1024_o1024_c256_n1024.json</t>
  </si>
  <si>
    <t>i1024_o1024_c512_n2048.json</t>
  </si>
  <si>
    <t>i1024_o16384_c1_n4.json</t>
  </si>
  <si>
    <t>i1024_o16384_c2_n16.json</t>
  </si>
  <si>
    <t>i1024_o16384_c4_n16.json</t>
  </si>
  <si>
    <t>i1024_o16384_c8_n16.json</t>
  </si>
  <si>
    <t>i1024_o16384_c16_n32.json</t>
  </si>
  <si>
    <t>i1024_o16384_c32_n64.json</t>
  </si>
  <si>
    <t>i1024_o16384_c64_n128.json</t>
  </si>
  <si>
    <t>i8192_o1024_c1_n16.json</t>
  </si>
  <si>
    <t>i8192_o1024_c2_n32.json</t>
  </si>
  <si>
    <t>i8192_o1024_c4_n32.json</t>
  </si>
  <si>
    <t>i8192_o1024_c8_n32.json</t>
  </si>
  <si>
    <t>i8192_o1024_c16_n64.json</t>
  </si>
  <si>
    <t>i8192_o1024_c32_n128.json</t>
  </si>
  <si>
    <t>i8192_o1024_c64_n256.json</t>
  </si>
  <si>
    <t>i8192_o1024_c128_n512.json</t>
  </si>
  <si>
    <t>i8192_o1024_c256_n1024.json</t>
  </si>
  <si>
    <t>i8192_o16384_c1_n4.json</t>
  </si>
  <si>
    <t>i8192_o16384_c2_n16.json</t>
  </si>
  <si>
    <t>i8192_o16384_c4_n16.json</t>
  </si>
  <si>
    <t>i8192_o16384_c8_n16.json</t>
  </si>
  <si>
    <t>i8192_o16384_c16_n32.json</t>
  </si>
  <si>
    <t>i8192_o16384_c32_n64.json</t>
  </si>
  <si>
    <t>i32768_o1024_c1_n16.json</t>
  </si>
  <si>
    <t>i32768_o1024_c1_n32.json</t>
  </si>
  <si>
    <t>i32768_o1024_c2_n32.json</t>
  </si>
  <si>
    <t>i32768_o1024_c4_n32.json</t>
  </si>
  <si>
    <t>i32768_o1024_c8_n32.json</t>
  </si>
  <si>
    <t>i32768_o1024_c16_n64.json</t>
  </si>
  <si>
    <t>i32768_o1024_c32_n128.json</t>
  </si>
  <si>
    <t>i32768_o1024_c64_n256.json</t>
  </si>
  <si>
    <t>i32768_o16384_c1_n4.json</t>
  </si>
  <si>
    <t>i32768_o16384_c2_n8.json</t>
  </si>
  <si>
    <t>i32768_o16384_c4_n16.json</t>
  </si>
  <si>
    <t>i32768_o16384_c8_n16.json</t>
  </si>
  <si>
    <t>i32768_o16384_c16_n32.json</t>
  </si>
  <si>
    <t>i32768_o16384_c32_n64.json</t>
  </si>
  <si>
    <t>i65536_o1024_c1_n16.json</t>
  </si>
  <si>
    <t>i65536_o1024_c2_n16.json</t>
  </si>
  <si>
    <t>i65536_o1024_c4_n16.json</t>
  </si>
  <si>
    <t>i65536_o1024_c8_n16.json</t>
  </si>
  <si>
    <t>i65536_o1024_c16_n32.json</t>
  </si>
  <si>
    <t>i65536_o1024_c32_n64.json</t>
  </si>
  <si>
    <t>i65536_o1024_c64_n128.json</t>
  </si>
  <si>
    <t>Haiguang DCU DeepSeek-V4-Flash INT8 W8A8 Throughput Performance</t>
  </si>
  <si>
    <t>2026-07-08/09 | SGLang 0.5.10 | TP8 | W8A8 slimquant_marlin | 8x Hygon DCU 64GB</t>
  </si>
  <si>
    <t>1. 1K → 1K</t>
  </si>
  <si>
    <t>Case</t>
  </si>
  <si>
    <t>Concurrency</t>
  </si>
  <si>
    <t>Request Count</t>
  </si>
  <si>
    <t>每秒请求数(req/s)</t>
  </si>
  <si>
    <t>输出Token吞吐/s</t>
  </si>
  <si>
    <t>总Token吞吐/s</t>
  </si>
  <si>
    <t>TTFT(ms)</t>
  </si>
  <si>
    <t>TPOT(ms)</t>
  </si>
  <si>
    <t>每秒生成Token数</t>
  </si>
  <si>
    <t>I_1024_O_1024_C_1</t>
  </si>
  <si>
    <t>I_1024_O_1024_C_2</t>
  </si>
  <si>
    <t>I_1024_O_1024_C_4</t>
  </si>
  <si>
    <t>I_1024_O_1024_C_8</t>
  </si>
  <si>
    <t>I_1024_O_1024_C_16</t>
  </si>
  <si>
    <t>I_1024_O_1024_C_32</t>
  </si>
  <si>
    <t>I_1024_O_1024_C_64</t>
  </si>
  <si>
    <t>I_1024_O_1024_C_128</t>
  </si>
  <si>
    <t>I_1024_O_1024_C_256</t>
  </si>
  <si>
    <t>I_1024_O_1024_C_512</t>
  </si>
  <si>
    <t>2. 8K → 1K</t>
  </si>
  <si>
    <t>I_8192_O_1024_C_1</t>
  </si>
  <si>
    <t>I_8192_O_1024_C_2</t>
  </si>
  <si>
    <t>I_8192_O_1024_C_4</t>
  </si>
  <si>
    <t>I_8192_O_1024_C_8</t>
  </si>
  <si>
    <t>I_8192_O_1024_C_16</t>
  </si>
  <si>
    <t>I_8192_O_1024_C_32</t>
  </si>
  <si>
    <t>I_8192_O_1024_C_64</t>
  </si>
  <si>
    <t>I_8192_O_1024_C_128</t>
  </si>
  <si>
    <t>I_8192_O_1024_C_256</t>
  </si>
  <si>
    <t>3. 32K → 1K</t>
  </si>
  <si>
    <t>I_32768_O_1024_C_1</t>
  </si>
  <si>
    <t>I_32768_O_1024_C_2</t>
  </si>
  <si>
    <t>I_32768_O_1024_C_4</t>
  </si>
  <si>
    <t>I_32768_O_1024_C_8</t>
  </si>
  <si>
    <t>I_32768_O_1024_C_16</t>
  </si>
  <si>
    <t>I_32768_O_1024_C_32</t>
  </si>
  <si>
    <t>I_32768_O_1024_C_64</t>
  </si>
  <si>
    <t>4. 1K → 16K</t>
  </si>
  <si>
    <t>I_1024_O_16384_C_1</t>
  </si>
  <si>
    <t>I_1024_O_16384_C_2</t>
  </si>
  <si>
    <t>I_1024_O_16384_C_4</t>
  </si>
  <si>
    <t>I_1024_O_16384_C_8</t>
  </si>
  <si>
    <t>I_1024_O_16384_C_16</t>
  </si>
  <si>
    <t>I_1024_O_16384_C_32</t>
  </si>
  <si>
    <t>I_1024_O_16384_C_64</t>
  </si>
  <si>
    <t>—</t>
  </si>
  <si>
    <t>5. 8K → 16K</t>
  </si>
  <si>
    <t>I_8192_O_16384_C_1</t>
  </si>
  <si>
    <t>I_8192_O_16384_C_2</t>
  </si>
  <si>
    <t>I_8192_O_16384_C_4</t>
  </si>
  <si>
    <t>I_8192_O_16384_C_8</t>
  </si>
  <si>
    <t>I_8192_O_16384_C_16</t>
  </si>
  <si>
    <t>I_8192_O_16384_C_32</t>
  </si>
  <si>
    <t>单请求耗时
(s)</t>
  </si>
  <si>
    <t>请求吞吐
(req/s)</t>
  </si>
  <si>
    <t>i1024_o1024_c2_n8.json</t>
  </si>
  <si>
    <t>i1024_o1024_c4_n16.json</t>
  </si>
  <si>
    <t>i1024_o16384_c1_n16.json</t>
  </si>
  <si>
    <t>i1024_o16384_c2_n8.json</t>
  </si>
  <si>
    <t>i8192_o1024_c1_n32.json</t>
  </si>
  <si>
    <t>i8192_o1024_c2_n40.json</t>
  </si>
  <si>
    <t>i8192_o1024_c4_n80.json</t>
  </si>
  <si>
    <t>i8192_o1024_c8_n160.json</t>
  </si>
  <si>
    <t>i8192_o1024_c16_n320.json</t>
  </si>
  <si>
    <t>i8192_o1024_c32_n640.json</t>
  </si>
  <si>
    <t>i8192_o1024_c64_n1280.json</t>
  </si>
  <si>
    <t>i8192_o1024_c128_n2560.json</t>
  </si>
  <si>
    <t>i8192_o1024_c256_n5120.json</t>
  </si>
  <si>
    <t>i8192_o16384_c1_n16.json</t>
  </si>
  <si>
    <t>i8192_o16384_c2_n8.json</t>
  </si>
  <si>
    <t>i131072_o1024_c1_n8.json</t>
  </si>
  <si>
    <t>i131072_o1024_c2_n16.json</t>
  </si>
  <si>
    <t>i131072_o1024_c4_n16.json</t>
  </si>
  <si>
    <t>i131072_o1024_c8_n16.json</t>
  </si>
  <si>
    <t>i131072_o1024_c16_n32.json</t>
  </si>
  <si>
    <t>i131072_o1024_c32_n64.json</t>
  </si>
  <si>
    <t>项目</t>
  </si>
  <si>
    <t>配置信息</t>
  </si>
  <si>
    <t>版本信息</t>
  </si>
  <si>
    <t>平台类型</t>
  </si>
  <si>
    <t>沐曦 MetaX C550 GPU 服务器</t>
  </si>
  <si>
    <t>操作系统</t>
  </si>
  <si>
    <t>Ubuntu 22.04.3 LTS</t>
  </si>
  <si>
    <t>芯片型号</t>
  </si>
  <si>
    <t>MetaX C550</t>
  </si>
  <si>
    <t>Linux Kernel</t>
  </si>
  <si>
    <t>5.15.0-58-generic</t>
  </si>
  <si>
    <t>芯片数量</t>
  </si>
  <si>
    <t>8 卡</t>
  </si>
  <si>
    <t>驱动 / 工具链</t>
  </si>
  <si>
    <t>MX-SMI 2.3.1；Kernel Mode Driver 3.6.11；MACA 3.7.1.6；BIOS 1.31.1.0</t>
  </si>
  <si>
    <t>单卡显存</t>
  </si>
  <si>
    <t>64 GB / 卡，截图显示 65536 MiB</t>
  </si>
  <si>
    <t>推理框架</t>
  </si>
  <si>
    <t>vLLM 0.21.0</t>
  </si>
  <si>
    <t>CPU 型号</t>
  </si>
  <si>
    <t>Intel(R) Xeon(R) Platinum 8480+</t>
  </si>
  <si>
    <t>PyTorch</t>
  </si>
  <si>
    <t>CPU 核数</t>
  </si>
  <si>
    <t>待确认，截图只显示了 CPU 型号，未显示核数</t>
  </si>
  <si>
    <t>CUDA/XX</t>
  </si>
  <si>
    <t>非 NVIDIA CUDA 环境；沐曦对应为 MACA 3.7.1.6 / Version.txt 显示 3.7.1.6.dsv4</t>
  </si>
  <si>
    <t>整机内存</t>
  </si>
  <si>
    <t>2.0 TiB</t>
  </si>
  <si>
    <t>网络带宽</t>
  </si>
  <si>
    <t>待确认，截图未展示</t>
  </si>
  <si>
    <t>算力数值精度</t>
  </si>
  <si>
    <t>INT8</t>
  </si>
  <si>
    <t>target_input_len</t>
  </si>
  <si>
    <t>target_output_len</t>
  </si>
  <si>
    <t>target_concurrency</t>
  </si>
  <si>
    <t>request_throughput_req_s</t>
  </si>
  <si>
    <t>output_throughput_tok_s</t>
  </si>
  <si>
    <t>total_throughput_tok_s</t>
  </si>
  <si>
    <t>mean_ttft_ms</t>
  </si>
  <si>
    <t>mean_tpot_ms</t>
  </si>
  <si>
    <t>平台类型: Atlas 800I A3</t>
  </si>
  <si>
    <t>芯片型号: 910C4</t>
  </si>
  <si>
    <t>芯片数量: 8</t>
  </si>
  <si>
    <t>Chip数量: 16</t>
  </si>
  <si>
    <t>单卡显存: 64G</t>
  </si>
  <si>
    <t>CPU型号: Kunpeng 920 7285Z</t>
  </si>
  <si>
    <t>CPU核数: 320</t>
  </si>
  <si>
    <t>整机内存: 2.0Ti</t>
  </si>
  <si>
    <t>网络带宽: unknown</t>
  </si>
  <si>
    <t>算力数值精度:</t>
  </si>
  <si>
    <t>操作系统: Huawei Cloud EulerOS 2.0 (aarch64)</t>
  </si>
  <si>
    <t>驱动/工具链: 25.5.1</t>
  </si>
  <si>
    <t>推理框架: vllm 0.18.0</t>
  </si>
  <si>
    <t>pytorch: 2.9.0+cpu</t>
  </si>
  <si>
    <t>CANN: 25.5.1</t>
  </si>
  <si>
    <t>输入token吞吐/s</t>
  </si>
  <si>
    <t>备注：非摩尔官方镜像和模型</t>
  </si>
  <si>
    <t>i128_o32_c1_n4.jsonl</t>
  </si>
  <si>
    <t>i1024_o128_c4_n16.jsonl</t>
  </si>
  <si>
    <t>i1024_o128_c8_n84.jsonl</t>
  </si>
  <si>
    <t>平台类型: H3C UniServer R5500 G6</t>
  </si>
  <si>
    <t>芯片型号: MTT S5000</t>
  </si>
  <si>
    <t>单卡显存: 81920 MiB</t>
  </si>
  <si>
    <t>CPU型号: AMD EPYC 9T34 64-Core Processor</t>
  </si>
  <si>
    <t>CPU核数: 256</t>
  </si>
  <si>
    <t>整机内存: 2.2Ti</t>
  </si>
  <si>
    <t>网络带宽: 50000Mb/s</t>
  </si>
  <si>
    <t>操作系统: Ubuntu 22.04.4 LTS</t>
  </si>
  <si>
    <t>驱动/工具链: 3.3.4-server</t>
  </si>
  <si>
    <t>推理框架: sglang 0.1.dev9353+g50d8c9641.d20260430</t>
  </si>
  <si>
    <t>pytorch: 2.9.0</t>
  </si>
  <si>
    <t>MUSA: 3.3.4-server</t>
  </si>
  <si>
    <t>dp1</t>
  </si>
  <si>
    <t>dp2</t>
  </si>
  <si>
    <t>dp4</t>
  </si>
  <si>
    <t>PPU-ZW810E</t>
  </si>
  <si>
    <t>昇腾910B</t>
  </si>
  <si>
    <t>Request_throughput(req/s)</t>
  </si>
  <si>
    <t>Output_tok_throughput(tok/s)</t>
  </si>
  <si>
    <t>Total_tok_throughput(tok/s)</t>
  </si>
  <si>
    <t>TTFT_Mean(ms)</t>
  </si>
  <si>
    <t>TPOT_Mean(ms)</t>
  </si>
  <si>
    <t>deepseek-v4-flash</t>
  </si>
  <si>
    <t>论文 Benchmark</t>
  </si>
  <si>
    <t>PPU ZW810E</t>
  </si>
  <si>
    <t xml:space="preserve"> 910B </t>
  </si>
  <si>
    <t xml:space="preserve"> H200</t>
  </si>
  <si>
    <t>海光BW1000</t>
  </si>
  <si>
    <t>沐曦C550(浪潮）</t>
  </si>
  <si>
    <t>沐曦C550</t>
  </si>
  <si>
    <t>910C</t>
  </si>
  <si>
    <t>摩尔线程S5000</t>
  </si>
  <si>
    <t>昆仑芯P800</t>
  </si>
  <si>
    <t>寒武纪</t>
  </si>
  <si>
    <t>Benchmark</t>
  </si>
  <si>
    <t>测试目的</t>
  </si>
  <si>
    <t>得分</t>
  </si>
  <si>
    <t>相对diff</t>
  </si>
  <si>
    <t>输出token/s</t>
  </si>
  <si>
    <t>每卡输出token/s</t>
  </si>
  <si>
    <t>MMLU-Pro（EM）</t>
  </si>
  <si>
    <t>通用理解</t>
  </si>
  <si>
    <t>Chinese-SimpleQA (Pass@1)</t>
  </si>
  <si>
    <t>中文理解</t>
  </si>
  <si>
    <t>HMMT 2025 Feb (Pass@1)</t>
  </si>
  <si>
    <t>数学解答</t>
  </si>
  <si>
    <t>HMMT 2026 Feb (Pass@1)</t>
  </si>
  <si>
    <t>deepseek-v4-pro</t>
  </si>
  <si>
    <t>寒武纪MLU590</t>
  </si>
  <si>
    <t>target_n_input</t>
  </si>
  <si>
    <t>target_n_output</t>
  </si>
  <si>
    <t>prefill耗时</t>
  </si>
  <si>
    <t>decode耗时</t>
  </si>
  <si>
    <t>prefill_总耗电量</t>
  </si>
  <si>
    <t>decode_总耗电量</t>
  </si>
  <si>
    <t>prefill_耗能速度(W)</t>
  </si>
  <si>
    <t>decode_耗能速度(W)</t>
  </si>
  <si>
    <t>prefill_单token耗能(J)</t>
  </si>
  <si>
    <t>decode_单token耗能(J)</t>
  </si>
  <si>
    <t>i1024_o1024_c1_n32.jsonl</t>
  </si>
  <si>
    <t>i1024_o16384_c1_n16.jsonl</t>
  </si>
  <si>
    <t>i1024_o16384_c4_n16.jsonl</t>
  </si>
  <si>
    <t>i1024_o16384_c8_n16.jsonl</t>
  </si>
  <si>
    <t>i1024_o16384_c16_n32.jsonl</t>
  </si>
  <si>
    <t>i1024_o16384_c32_n64.jsonl</t>
  </si>
  <si>
    <t>i1024_o16384_c64_n128.jsonl</t>
  </si>
  <si>
    <t>i8192_o1024_c1_n32.jsonl</t>
  </si>
  <si>
    <t>i8192_o16384_c1_n16.jsonl</t>
  </si>
  <si>
    <t>i8192_o16384_c2_n8.jsonl</t>
  </si>
  <si>
    <t>i8192_o16384_c4_n16.jsonl</t>
  </si>
  <si>
    <t>i8192_o16384_c8_n16.jsonl</t>
  </si>
  <si>
    <t>i8192_o16384_c16_n32.jsonl</t>
  </si>
  <si>
    <t>i8192_o16384_c32_n64.jsonl</t>
  </si>
  <si>
    <t>i32768_o1024_c1_n32.jsonl</t>
  </si>
  <si>
    <t>i32768_o16384_c1_n4.jsonl</t>
  </si>
  <si>
    <t>i32768_o16384_c2_n8.jsonl</t>
  </si>
  <si>
    <t>i32768_o16384_c4_n16.jsonl</t>
  </si>
  <si>
    <t>i32768_o16384_c8_n16.jsonl</t>
  </si>
  <si>
    <t>i32768_o16384_c16_n32.jsonl</t>
  </si>
  <si>
    <t>i32768_o16384_c32_n64.jsonl</t>
  </si>
  <si>
    <t>i65536_o1024_c1_n16.jsonl</t>
  </si>
  <si>
    <t>i65536_o1024_c2_n16.jsonl</t>
  </si>
  <si>
    <t>i65536_o1024_c4_n16.jsonl</t>
  </si>
  <si>
    <t>i65536_o1024_c8_n16.jsonl</t>
  </si>
  <si>
    <t>i65536_o1024_c16_n32.jsonl</t>
  </si>
  <si>
    <t>i65536_o1024_c32_n64.jsonl</t>
  </si>
  <si>
    <t>i65536_o1024_c64_n128.jsonl</t>
  </si>
  <si>
    <t>i126976_o1024_c1_n8.jsonl</t>
  </si>
  <si>
    <t>i126976_o1024_c2_n16.jsonl</t>
  </si>
  <si>
    <t>i126976_o1024_c4_n16.jsonl</t>
  </si>
  <si>
    <t>i126976_o1024_c8_n16.jsonl</t>
  </si>
  <si>
    <t>i126976_o1024_c16_n32.jsonl</t>
  </si>
  <si>
    <t>i126976_o1024_c32_n64.jsonl</t>
  </si>
  <si>
    <t>Cambricon MLU590 DeepSeek-V4-Flash W8A8 Throughput (vLLM Bench Serve)</t>
  </si>
  <si>
    <t>vLLM 0.1.dev MLU | TP8 MP | W8A8 | max-num-batched-tokens=16384 | max-num-seqs=512 | MTP spec=1</t>
  </si>
  <si>
    <t>Tool: vllm bench serve --backend vllm | Mean values | Source: official benchmark 2026-07-01/02</t>
  </si>
  <si>
    <t>Scene</t>
  </si>
  <si>
    <t>Input Len</t>
  </si>
  <si>
    <t>Output Len</t>
  </si>
  <si>
    <t>req/s</t>
  </si>
  <si>
    <t>Output tok/s</t>
  </si>
  <si>
    <t>Total tok/s</t>
  </si>
  <si>
    <t>tok/ms</t>
  </si>
  <si>
    <t>1. 1K -&gt; 1K</t>
  </si>
  <si>
    <t>2. 8K -&gt; 1K</t>
  </si>
  <si>
    <t>3. 32K -&gt; 1K (yesterday, max-num-seqs=64)</t>
  </si>
  <si>
    <t>4. 1K -&gt; 16K</t>
  </si>
  <si>
    <t>5. 8K -&gt; 16K</t>
  </si>
  <si>
    <t>Notes:</t>
  </si>
  <si>
    <t>1. 32K-&gt;1K data from 2026-07-01 run (vLLM max-num-seqs=64, max-num-batched-tokens=65536). All other data from 2026-07-02 (max-num-seqs=512, max-num-batched-tokens=16384, MTP spec=1).</t>
  </si>
  <si>
    <t>2. 32K-&gt;1K c=1 not measured (MLU chunked prefill bug with 16384 batched tokens limit).</t>
  </si>
  <si>
    <t>3. 32K-&gt;16K, 64K-&gt;1K, 128K-&gt;1K scenarios not completed - all require input &gt;16384 tokens, MLU chunked prefill hangs.</t>
  </si>
  <si>
    <t>4. TPOT data is reliable for c&lt;=32. c&gt;=64 shows saturation effects (max-num-seqs limit).</t>
  </si>
  <si>
    <t>5. Comparison: 1K-&gt;1K c=8,16,32 with yesterday (no MTP): TPOT 19.55/22.74/26.70 vs today (MTP) unavailable. Direct comparison was not possible as today could not complete 1K output scenarios.</t>
  </si>
  <si>
    <t>Cambricon MLU590 DeepSeek-V4-Pro W4A8 Throughput (vLLM Bench Serve)</t>
  </si>
  <si>
    <t>2026-07-03 | vLLM 0.1.dev MLU | TP32 EP32 | W4A8 gs128 | max-num-batched-tokens=32768 | max-num-seqs=64 | port 9100</t>
  </si>
  <si>
    <t>Tool: vllm bench serve --backend vllm | Mean values | 4-machine 32-card Ray distributed</t>
  </si>
  <si>
    <t>Failed Scenarios</t>
  </si>
  <si>
    <t>3. 32K -&gt; 1K: ALL failed (c=2,4,8,16,32) - 32K input exceeds chunked prefill boundary</t>
  </si>
  <si>
    <t>6. 32K -&gt; 16K: ALL failed (c=1,2,4,8) - 32K input exceeds chunked prefill boundary</t>
  </si>
  <si>
    <t>7. 64K -&gt; 1K: Not attempted (expected OOM)</t>
  </si>
  <si>
    <t>8. 128K -&gt; 1K: Not attempted (expected OOM)</t>
  </si>
  <si>
    <t>Environment</t>
  </si>
  <si>
    <t>Platform</t>
  </si>
  <si>
    <t>Cambricon MLU590-M9DK x32 (4 machines, 8 cards each)</t>
  </si>
  <si>
    <t>Framework</t>
  </si>
  <si>
    <t>vLLM 0.1.dev MLU, TP32, EP32, Ray distributed</t>
  </si>
  <si>
    <t>Quantization</t>
  </si>
  <si>
    <t>W4A8 gs128</t>
  </si>
  <si>
    <t>Model</t>
  </si>
  <si>
    <t>DeepSeek-V4-Pro-W4A8-gs128</t>
  </si>
  <si>
    <t>Port</t>
  </si>
  <si>
    <t>9100</t>
  </si>
  <si>
    <t>Bench Tool</t>
  </si>
  <si>
    <t>vLLM bench serve (official)</t>
  </si>
  <si>
    <t>Date</t>
  </si>
  <si>
    <t>2026-07-03</t>
  </si>
  <si>
    <t>Kunlunxin P800 DeepSeek-V4-Flash W4A8 Throughput Performance</t>
  </si>
  <si>
    <t>xSGLang 0.5.10 | PD分离 P:TP4 EP4 PP2 D:TP4 DP2 | W4A8 INT4 | EAGLE | 16卡</t>
  </si>
  <si>
    <t>1. 1K→1K</t>
  </si>
  <si>
    <t>输入</t>
  </si>
  <si>
    <t>输出</t>
  </si>
  <si>
    <t>并发</t>
  </si>
  <si>
    <t>请求数</t>
  </si>
  <si>
    <t>每卡输出吞吐</t>
  </si>
  <si>
    <t>P90_TTFT(ms)</t>
  </si>
  <si>
    <t>P90_TPOT(ms)</t>
  </si>
  <si>
    <t>2. 8K→1K</t>
  </si>
  <si>
    <t>3. 32K→1K</t>
  </si>
  <si>
    <t>4. 1K→16K</t>
  </si>
  <si>
    <t>I_1024_O_16384_C_128</t>
  </si>
  <si>
    <t>5. 8K→16K</t>
  </si>
  <si>
    <t>I_8192_O_16384_C_64</t>
  </si>
  <si>
    <t>6. 32K→16K</t>
  </si>
  <si>
    <t>I_32768_O_16384_C_1</t>
  </si>
  <si>
    <t>I_32768_O_16384_C_2</t>
  </si>
  <si>
    <t>I_32768_O_16384_C_4</t>
  </si>
  <si>
    <t>I_32768_O_16384_C_8</t>
  </si>
  <si>
    <t>I_32768_O_16384_C_16</t>
  </si>
  <si>
    <t>I_32768_O_16384_C_32</t>
  </si>
  <si>
    <t>7. 64K→1K</t>
  </si>
  <si>
    <t>I_65536_O_1024_C_1</t>
  </si>
  <si>
    <t>I_65536_O_1024_C_2</t>
  </si>
  <si>
    <t>I_65536_O_1024_C_4</t>
  </si>
  <si>
    <t>I_65536_O_1024_C_8</t>
  </si>
  <si>
    <t>I_65536_O_1024_C_16</t>
  </si>
  <si>
    <t>I_65536_O_1024_C_32</t>
  </si>
  <si>
    <t>8. 128K→1K</t>
  </si>
  <si>
    <t>I_131072_O_1024_C_1</t>
  </si>
  <si>
    <t>I_131072_O_1024_C_2</t>
  </si>
  <si>
    <t>I_131072_O_1024_C_4</t>
  </si>
  <si>
    <t>I_131072_O_1024_C_8</t>
  </si>
  <si>
    <t>I_131072_O_1024_C_16</t>
  </si>
  <si>
    <t>Environment Info</t>
  </si>
  <si>
    <t>Kunlunxin P800 OAM x8, 2-node PD-disaggregation</t>
  </si>
  <si>
    <t>Chip</t>
  </si>
  <si>
    <t>P800, 96GB/card, 8 cards×2 nodes=16 cards</t>
  </si>
  <si>
    <t>CPU</t>
  </si>
  <si>
    <t>Intel Xeon Platinum 8563C</t>
  </si>
  <si>
    <t>System RAM</t>
  </si>
  <si>
    <t>xSGLang 0.5.10, P:TP4 EP4 PP2, D:TP4 DP2</t>
  </si>
  <si>
    <t>W4A8 INT4</t>
  </si>
  <si>
    <t>DeepSeek-V4-Flash-INT4 (~141GB)</t>
  </si>
  <si>
    <t>Startup</t>
  </si>
  <si>
    <t>--max-running-requests 64 --mem-fraction-static 0.75 --speculative-algorithm EAGLE</t>
  </si>
  <si>
    <t>Note</t>
  </si>
  <si>
    <t>C&gt;=256: D端mamba_indices崩溃待修复; 每卡吞吐=输出token吞吐/16</t>
  </si>
  <si>
    <t>MTP0</t>
  </si>
  <si>
    <t>MTP1</t>
  </si>
  <si>
    <t>MTP2</t>
  </si>
  <si>
    <t>MTP3</t>
  </si>
  <si>
    <t>MTP4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</si>
</sst>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.0%"/>
    <numFmt numFmtId="179" formatCode="0.000"/>
    <numFmt numFmtId="180" formatCode="#,##0.0"/>
    <numFmt numFmtId="181" formatCode="0.0000"/>
  </numFmts>
  <fonts count="4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b/>
      <sz val="14"/>
      <name val="微软雅黑"/>
      <charset val="134"/>
    </font>
    <font>
      <sz val="10"/>
      <color rgb="FF666666"/>
      <name val="微软雅黑"/>
      <charset val="134"/>
    </font>
    <font>
      <b/>
      <sz val="11"/>
      <name val="微软雅黑"/>
      <charset val="134"/>
    </font>
    <font>
      <b/>
      <sz val="9"/>
      <color rgb="FFFFFFFF"/>
      <name val="微软雅黑"/>
      <charset val="134"/>
    </font>
    <font>
      <sz val="9"/>
      <name val="微软雅黑"/>
      <charset val="134"/>
    </font>
    <font>
      <b/>
      <sz val="10"/>
      <name val="微软雅黑"/>
      <charset val="134"/>
    </font>
    <font>
      <b/>
      <sz val="13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b/>
      <sz val="9.5"/>
      <color rgb="FF000000"/>
      <name val="微软雅黑"/>
      <charset val="134"/>
    </font>
    <font>
      <sz val="9.5"/>
      <color rgb="FF000000"/>
      <name val="微软雅黑"/>
      <charset val="134"/>
    </font>
    <font>
      <b/>
      <sz val="10"/>
      <color rgb="FFFFFFFF"/>
      <name val="Arial"/>
      <charset val="134"/>
    </font>
    <font>
      <sz val="9"/>
      <name val="Arial"/>
      <charset val="134"/>
    </font>
    <font>
      <b/>
      <sz val="14"/>
      <color rgb="FF000000"/>
      <name val="Microsoft YaHei"/>
      <charset val="134"/>
    </font>
    <font>
      <sz val="9"/>
      <color rgb="FF666666"/>
      <name val="Microsoft YaHei"/>
      <charset val="134"/>
    </font>
    <font>
      <b/>
      <sz val="11"/>
      <color rgb="FF1F4E79"/>
      <name val="Microsoft YaHei"/>
      <charset val="134"/>
    </font>
    <font>
      <b/>
      <sz val="10"/>
      <color rgb="FF000000"/>
      <name val="Microsoft YaHei"/>
      <charset val="134"/>
    </font>
    <font>
      <sz val="10"/>
      <color rgb="FF000000"/>
      <name val="Microsoft YaHei"/>
      <charset val="134"/>
    </font>
    <font>
      <sz val="10"/>
      <color rgb="FFCC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C3E50"/>
        <bgColor rgb="FF2C3E50"/>
      </patternFill>
    </fill>
    <fill>
      <patternFill patternType="solid">
        <fgColor rgb="FFD9EAF7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1A252F"/>
      </left>
      <right style="thin">
        <color rgb="FF1A252F"/>
      </right>
      <top style="thin">
        <color rgb="FF1A252F"/>
      </top>
      <bottom style="thin">
        <color rgb="FF1A252F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1" borderId="13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2" borderId="16" applyNumberFormat="0" applyAlignment="0" applyProtection="0">
      <alignment vertical="center"/>
    </xf>
    <xf numFmtId="0" fontId="33" fillId="13" borderId="17" applyNumberFormat="0" applyAlignment="0" applyProtection="0">
      <alignment vertical="center"/>
    </xf>
    <xf numFmtId="0" fontId="34" fillId="13" borderId="16" applyNumberFormat="0" applyAlignment="0" applyProtection="0">
      <alignment vertical="center"/>
    </xf>
    <xf numFmtId="0" fontId="35" fillId="14" borderId="18" applyNumberFormat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ont="1" applyFill="1" applyAlignment="1"/>
    <xf numFmtId="0" fontId="3" fillId="0" borderId="0" xfId="0" applyFont="1" applyFill="1" applyAlignment="1"/>
    <xf numFmtId="0" fontId="4" fillId="0" borderId="0" xfId="0" applyFont="1" applyFill="1" applyAlignment="1"/>
    <xf numFmtId="0" fontId="5" fillId="0" borderId="0" xfId="0" applyFont="1" applyFill="1" applyAlignment="1"/>
    <xf numFmtId="0" fontId="6" fillId="3" borderId="1" xfId="0" applyFont="1" applyFill="1" applyBorder="1" applyAlignment="1">
      <alignment horizontal="center" wrapText="1"/>
    </xf>
    <xf numFmtId="0" fontId="7" fillId="0" borderId="2" xfId="0" applyFont="1" applyFill="1" applyBorder="1" applyAlignment="1"/>
    <xf numFmtId="0" fontId="7" fillId="0" borderId="2" xfId="0" applyFont="1" applyFill="1" applyBorder="1" applyAlignment="1">
      <alignment horizontal="center"/>
    </xf>
    <xf numFmtId="0" fontId="8" fillId="0" borderId="0" xfId="0" applyFont="1" applyFill="1" applyAlignment="1"/>
    <xf numFmtId="0" fontId="7" fillId="0" borderId="0" xfId="0" applyFont="1" applyFill="1" applyAlignment="1"/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77" fontId="10" fillId="0" borderId="0" xfId="0" applyNumberFormat="1" applyFont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4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10" fontId="0" fillId="0" borderId="8" xfId="3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10" fontId="0" fillId="0" borderId="0" xfId="3" applyNumberFormat="1" applyAlignment="1">
      <alignment horizontal="center" vertical="center"/>
    </xf>
    <xf numFmtId="2" fontId="0" fillId="0" borderId="0" xfId="0" applyNumberFormat="1">
      <alignment vertical="center"/>
    </xf>
    <xf numFmtId="10" fontId="0" fillId="0" borderId="0" xfId="0" applyNumberFormat="1">
      <alignment vertical="center"/>
    </xf>
    <xf numFmtId="178" fontId="0" fillId="0" borderId="0" xfId="3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78" fontId="0" fillId="0" borderId="0" xfId="3" applyNumberFormat="1" applyFill="1" applyAlignment="1">
      <alignment horizontal="center" vertical="center"/>
    </xf>
    <xf numFmtId="176" fontId="0" fillId="5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16" fillId="6" borderId="1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0" xfId="0" applyFont="1" applyAlignment="1">
      <alignment vertical="center" wrapText="1"/>
    </xf>
    <xf numFmtId="0" fontId="17" fillId="7" borderId="11" xfId="0" applyFont="1" applyFill="1" applyBorder="1" applyAlignment="1">
      <alignment horizontal="center" vertical="center"/>
    </xf>
    <xf numFmtId="179" fontId="17" fillId="7" borderId="11" xfId="0" applyNumberFormat="1" applyFont="1" applyFill="1" applyBorder="1" applyAlignment="1">
      <alignment horizontal="center" vertical="center"/>
    </xf>
    <xf numFmtId="180" fontId="17" fillId="7" borderId="11" xfId="0" applyNumberFormat="1" applyFont="1" applyFill="1" applyBorder="1" applyAlignment="1">
      <alignment horizontal="center" vertical="center"/>
    </xf>
    <xf numFmtId="181" fontId="17" fillId="7" borderId="11" xfId="0" applyNumberFormat="1" applyFont="1" applyFill="1" applyBorder="1" applyAlignment="1">
      <alignment horizontal="center" vertical="center"/>
    </xf>
    <xf numFmtId="0" fontId="17" fillId="8" borderId="11" xfId="0" applyFont="1" applyFill="1" applyBorder="1" applyAlignment="1">
      <alignment horizontal="center" vertical="center"/>
    </xf>
    <xf numFmtId="179" fontId="17" fillId="8" borderId="11" xfId="0" applyNumberFormat="1" applyFont="1" applyFill="1" applyBorder="1" applyAlignment="1">
      <alignment horizontal="center" vertical="center"/>
    </xf>
    <xf numFmtId="180" fontId="17" fillId="8" borderId="11" xfId="0" applyNumberFormat="1" applyFont="1" applyFill="1" applyBorder="1" applyAlignment="1">
      <alignment horizontal="center" vertical="center"/>
    </xf>
    <xf numFmtId="181" fontId="17" fillId="8" borderId="11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0" fillId="0" borderId="0" xfId="0" applyFont="1" applyAlignment="1"/>
    <xf numFmtId="0" fontId="20" fillId="9" borderId="0" xfId="0" applyFont="1" applyFill="1" applyAlignment="1"/>
    <xf numFmtId="0" fontId="21" fillId="10" borderId="12" xfId="0" applyFont="1" applyFill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0" fillId="0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57" dbFileVersion="0" changeLogVersion="0">
    <open main="70" threadCnt="1"/>
    <sheetInfos>
      <sheetInfo cellCmpFml="6" sheetStid="1">
        <open main="1" threadCnt="1"/>
      </sheetInfo>
      <sheetInfo cellCmpFml="1" sheetStid="7">
        <open threadCnt="1"/>
      </sheetInfo>
      <sheetInfo cellCmpFml="5" sheetStid="2">
        <open threadCnt="1"/>
      </sheetInfo>
      <sheetInfo cellCmpFml="3" sheetStid="6">
        <open main="1" threadCnt="1"/>
      </sheetInfo>
      <sheetInfo cellCmpFml="0" sheetStid="24">
        <open main="1" threadCnt="1"/>
      </sheetInfo>
      <sheetInfo cellCmpFml="0" sheetStid="9">
        <open main="1" threadCnt="1"/>
      </sheetInfo>
      <sheetInfo cellCmpFml="0" sheetStid="11">
        <open main="1" threadCnt="1"/>
      </sheetInfo>
      <sheetInfo cellCmpFml="0" sheetStid="13">
        <open main="1" threadCnt="1"/>
      </sheetInfo>
      <sheetInfo cellCmpFml="2" sheetStid="25">
        <open main="1" threadCnt="1"/>
      </sheetInfo>
      <sheetInfo cellCmpFml="1" sheetStid="12">
        <open threadCnt="1"/>
      </sheetInfo>
      <sheetInfo cellCmpFml="1" sheetStid="8">
        <open main="1" threadCnt="1"/>
      </sheetInfo>
      <sheetInfo cellCmpFml="0" sheetStid="3">
        <open threadCnt="1"/>
      </sheetInfo>
      <sheetInfo cellCmpFml="27" sheetStid="4">
        <open threadCnt="1"/>
      </sheetInfo>
      <sheetInfo cellCmpFml="3" sheetStid="10">
        <open threadCnt="1"/>
      </sheetInfo>
      <sheetInfo cellCmpFml="0" sheetStid="15">
        <open main="1" threadCnt="1"/>
      </sheetInfo>
      <sheetInfo cellCmpFml="0" sheetStid="19">
        <open main="1" threadCnt="1"/>
      </sheetInfo>
      <sheetInfo cellCmpFml="0" sheetStid="20">
        <open threadCnt="1"/>
      </sheetInfo>
      <sheetInfo cellCmpFml="0" sheetStid="22">
        <open main="2" threadCnt="1"/>
      </sheetInfo>
      <sheetInfo cellCmpFml="2" sheetStid="27">
        <open main="1" threadCnt="1"/>
      </sheetInfo>
      <sheetInfo cellCmpFml="6" sheetStid="29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www.wps.cn/officeDocument/2023/relationships/woinfos" Target="woinfos.xml"/><Relationship Id="rId25" Type="http://schemas.openxmlformats.org/officeDocument/2006/relationships/styles" Target="styles.xml"/><Relationship Id="rId24" Type="http://schemas.openxmlformats.org/officeDocument/2006/relationships/customXml" Target="../customXml/item2.xml"/><Relationship Id="rId23" Type="http://schemas.openxmlformats.org/officeDocument/2006/relationships/customXml" Target="../customXml/item1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8"/>
  <sheetViews>
    <sheetView workbookViewId="0">
      <selection activeCell="D10" sqref="D10:H10"/>
    </sheetView>
  </sheetViews>
  <sheetFormatPr defaultColWidth="9.23333333333333" defaultRowHeight="13.5"/>
  <cols>
    <col min="1" max="1" width="20.3583333333333" customWidth="1"/>
    <col min="6" max="6" width="11.6916666666667" customWidth="1"/>
    <col min="7" max="7" width="17.9416666666667" customWidth="1"/>
    <col min="8" max="8" width="16.35" customWidth="1"/>
    <col min="9" max="9" width="12.175" customWidth="1"/>
    <col min="10" max="10" width="10.7333333333333" customWidth="1"/>
    <col min="11" max="11" width="19.4416666666667" customWidth="1"/>
  </cols>
  <sheetData>
    <row r="1" ht="27" spans="1:11">
      <c r="A1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t="s">
        <v>10</v>
      </c>
    </row>
    <row r="2" spans="1:11">
      <c r="A2" t="str">
        <f>_xlfn.CONCAT("I_",B2,"_O_",C2)</f>
        <v>I_1024_O_1024</v>
      </c>
      <c r="B2" s="9">
        <v>1024</v>
      </c>
      <c r="C2" s="9">
        <v>1024</v>
      </c>
      <c r="D2" s="9">
        <v>1</v>
      </c>
      <c r="E2" s="9">
        <v>50</v>
      </c>
      <c r="F2" s="11">
        <v>0.138656794028688</v>
      </c>
      <c r="G2" s="11">
        <v>65.4626455968246</v>
      </c>
      <c r="H2" s="11">
        <v>140.21252325769</v>
      </c>
      <c r="I2" s="11">
        <v>267.449748918879</v>
      </c>
      <c r="J2" s="11">
        <v>14.8511194959946</v>
      </c>
      <c r="K2" s="12">
        <f>1000/J2</f>
        <v>67.3349911614208</v>
      </c>
    </row>
    <row r="3" spans="1:11">
      <c r="A3" t="str">
        <f t="shared" ref="A3:A34" si="0">_xlfn.CONCAT("I_",B3,"_O_",C3)</f>
        <v>I_1024_O_1024</v>
      </c>
      <c r="B3" s="9">
        <v>1024</v>
      </c>
      <c r="C3" s="9">
        <v>1024</v>
      </c>
      <c r="D3" s="9">
        <v>4</v>
      </c>
      <c r="E3" s="9">
        <v>100</v>
      </c>
      <c r="F3" s="11">
        <v>0.407007391399608</v>
      </c>
      <c r="G3" s="11">
        <v>213.45095634561</v>
      </c>
      <c r="H3" s="11">
        <v>419.237963511166</v>
      </c>
      <c r="I3" s="11">
        <v>281.335410632891</v>
      </c>
      <c r="J3" s="11">
        <v>17.924261215245</v>
      </c>
      <c r="K3" s="12">
        <f t="shared" ref="K3:K34" si="1">1000/J3</f>
        <v>55.790304994522</v>
      </c>
    </row>
    <row r="4" spans="1:11">
      <c r="A4" t="str">
        <f t="shared" si="0"/>
        <v>I_1024_O_1024</v>
      </c>
      <c r="B4" s="9">
        <v>1024</v>
      </c>
      <c r="C4" s="9">
        <v>1024</v>
      </c>
      <c r="D4" s="9">
        <v>8</v>
      </c>
      <c r="E4" s="9">
        <v>80</v>
      </c>
      <c r="F4" s="11">
        <v>0.716296591910143</v>
      </c>
      <c r="G4" s="11">
        <v>350.7435799362</v>
      </c>
      <c r="H4" s="11">
        <v>730.35391252638</v>
      </c>
      <c r="I4" s="11">
        <v>322.07038453489</v>
      </c>
      <c r="J4" s="11">
        <v>21.5395320085661</v>
      </c>
      <c r="K4" s="12">
        <f t="shared" si="1"/>
        <v>46.4262640247851</v>
      </c>
    </row>
    <row r="5" spans="1:11">
      <c r="A5" t="str">
        <f t="shared" si="0"/>
        <v>I_1024_O_1024</v>
      </c>
      <c r="B5" s="9">
        <v>1024</v>
      </c>
      <c r="C5" s="9">
        <v>1024</v>
      </c>
      <c r="D5" s="9">
        <v>16</v>
      </c>
      <c r="E5" s="9">
        <v>160</v>
      </c>
      <c r="F5" s="11">
        <v>0.702640455534248</v>
      </c>
      <c r="G5" s="11">
        <v>352.967041334782</v>
      </c>
      <c r="H5" s="11">
        <v>711.181928571836</v>
      </c>
      <c r="I5" s="11">
        <v>2507.50489211495</v>
      </c>
      <c r="J5" s="11">
        <v>38.5660766838863</v>
      </c>
      <c r="K5" s="12">
        <f t="shared" si="1"/>
        <v>25.929523715795</v>
      </c>
    </row>
    <row r="6" spans="1:11">
      <c r="A6" t="str">
        <f t="shared" si="0"/>
        <v>I_1024_O_1024</v>
      </c>
      <c r="B6" s="9">
        <v>1024</v>
      </c>
      <c r="C6" s="9">
        <v>1024</v>
      </c>
      <c r="D6" s="9">
        <v>32</v>
      </c>
      <c r="E6" s="9">
        <v>320</v>
      </c>
      <c r="F6" s="11">
        <v>1.14172589406771</v>
      </c>
      <c r="G6" s="11">
        <v>609.613837457199</v>
      </c>
      <c r="H6" s="11">
        <v>1187.41633719093</v>
      </c>
      <c r="I6" s="11">
        <v>2914.48856485512</v>
      </c>
      <c r="J6" s="11">
        <v>48.6804195254762</v>
      </c>
      <c r="K6" s="12">
        <f t="shared" si="1"/>
        <v>20.5421401406918</v>
      </c>
    </row>
    <row r="7" spans="1:11">
      <c r="A7" t="str">
        <f t="shared" si="0"/>
        <v>I_1024_O_1024</v>
      </c>
      <c r="B7" s="9">
        <v>1024</v>
      </c>
      <c r="C7" s="9">
        <v>1024</v>
      </c>
      <c r="D7" s="9">
        <v>64</v>
      </c>
      <c r="E7" s="9">
        <v>640</v>
      </c>
      <c r="F7" s="11">
        <v>1.32707256637134</v>
      </c>
      <c r="G7" s="11">
        <v>675.809630873722</v>
      </c>
      <c r="H7" s="11">
        <v>1365.89980669213</v>
      </c>
      <c r="I7" s="11">
        <v>4902.23472212001</v>
      </c>
      <c r="J7" s="11">
        <v>103.943184039897</v>
      </c>
      <c r="K7" s="12">
        <f t="shared" si="1"/>
        <v>9.62064044157205</v>
      </c>
    </row>
    <row r="8" spans="1:11">
      <c r="A8" t="str">
        <f t="shared" si="0"/>
        <v>I_1024_O_1024</v>
      </c>
      <c r="B8" s="9">
        <v>1024</v>
      </c>
      <c r="C8" s="9">
        <v>1024</v>
      </c>
      <c r="D8" s="9">
        <v>128</v>
      </c>
      <c r="E8" s="9">
        <v>640</v>
      </c>
      <c r="F8" s="11">
        <v>1.80038169740555</v>
      </c>
      <c r="G8" s="11">
        <v>916.841566307378</v>
      </c>
      <c r="H8" s="11">
        <v>1853.05692753668</v>
      </c>
      <c r="I8" s="11">
        <v>3862.67913953142</v>
      </c>
      <c r="J8" s="11">
        <v>147.675153571691</v>
      </c>
      <c r="K8" s="12">
        <f t="shared" si="1"/>
        <v>6.77161984134681</v>
      </c>
    </row>
    <row r="9" spans="1:11">
      <c r="A9" t="str">
        <f t="shared" si="0"/>
        <v>I_1024_O_1024</v>
      </c>
      <c r="B9" s="9">
        <v>1024</v>
      </c>
      <c r="C9" s="9">
        <v>1024</v>
      </c>
      <c r="D9" s="9">
        <v>256</v>
      </c>
      <c r="E9" s="9">
        <v>1280</v>
      </c>
      <c r="F9" s="11">
        <v>2.13681037857167</v>
      </c>
      <c r="G9" s="11">
        <v>1075.10776246549</v>
      </c>
      <c r="H9" s="11">
        <v>2174.77215045348</v>
      </c>
      <c r="I9" s="11">
        <v>54525.7367891481</v>
      </c>
      <c r="J9" s="11">
        <v>118.081793713541</v>
      </c>
      <c r="K9" s="12">
        <f t="shared" si="1"/>
        <v>8.46870604308347</v>
      </c>
    </row>
    <row r="10" spans="1:11">
      <c r="A10" t="str">
        <f t="shared" si="0"/>
        <v>I_1024_O_1024</v>
      </c>
      <c r="B10" s="9">
        <v>1024</v>
      </c>
      <c r="C10" s="9">
        <v>1024</v>
      </c>
      <c r="D10" s="9">
        <v>512</v>
      </c>
      <c r="E10" s="9">
        <v>2048</v>
      </c>
      <c r="F10" s="11">
        <v>2.12177827701407</v>
      </c>
      <c r="G10" s="11">
        <v>1069.93777692082</v>
      </c>
      <c r="H10" s="11">
        <v>2156.71924096455</v>
      </c>
      <c r="I10" s="11">
        <v>158251.560080685</v>
      </c>
      <c r="J10" s="11">
        <v>117.607852398078</v>
      </c>
      <c r="K10" s="12">
        <f t="shared" si="1"/>
        <v>8.502833608552</v>
      </c>
    </row>
    <row r="11" spans="1:11">
      <c r="A11" t="str">
        <f t="shared" si="0"/>
        <v>I_1024_O_4096</v>
      </c>
      <c r="B11" s="9">
        <v>1024</v>
      </c>
      <c r="C11" s="9">
        <v>4096</v>
      </c>
      <c r="D11" s="9">
        <v>1</v>
      </c>
      <c r="E11" s="9">
        <v>10</v>
      </c>
      <c r="F11" s="11">
        <v>0.0324605416928685</v>
      </c>
      <c r="G11" s="11">
        <v>73.5296190426859</v>
      </c>
      <c r="H11" s="11">
        <v>93.333795529505</v>
      </c>
      <c r="I11" s="11">
        <v>247.673441574443</v>
      </c>
      <c r="J11" s="11">
        <v>13.4814280643481</v>
      </c>
      <c r="K11" s="12">
        <f t="shared" si="1"/>
        <v>74.1761180808819</v>
      </c>
    </row>
    <row r="12" spans="1:11">
      <c r="A12" t="str">
        <f t="shared" si="0"/>
        <v>I_1024_O_4096</v>
      </c>
      <c r="B12" s="9">
        <v>1024</v>
      </c>
      <c r="C12" s="9">
        <v>4096</v>
      </c>
      <c r="D12" s="9">
        <v>2</v>
      </c>
      <c r="E12" s="9">
        <v>20</v>
      </c>
      <c r="F12" s="11">
        <v>0.0600330297755767</v>
      </c>
      <c r="G12" s="11">
        <v>130.337710945754</v>
      </c>
      <c r="H12" s="11">
        <v>161.317755961441</v>
      </c>
      <c r="I12" s="11">
        <v>277.438043965958</v>
      </c>
      <c r="J12" s="11">
        <v>15.1078448550035</v>
      </c>
      <c r="K12" s="12">
        <f t="shared" si="1"/>
        <v>66.190777678579</v>
      </c>
    </row>
    <row r="13" spans="1:11">
      <c r="A13" t="str">
        <f t="shared" si="0"/>
        <v>I_1024_O_4096</v>
      </c>
      <c r="B13" s="9">
        <v>1024</v>
      </c>
      <c r="C13" s="9">
        <v>4096</v>
      </c>
      <c r="D13" s="9">
        <v>4</v>
      </c>
      <c r="E13" s="9">
        <v>40</v>
      </c>
      <c r="F13" s="11">
        <v>0.107592385165111</v>
      </c>
      <c r="G13" s="11">
        <v>214.619910308106</v>
      </c>
      <c r="H13" s="11">
        <v>273.793032339288</v>
      </c>
      <c r="I13" s="11">
        <v>314.553125150268</v>
      </c>
      <c r="J13" s="11">
        <v>17.0655612127326</v>
      </c>
      <c r="K13" s="12">
        <f t="shared" si="1"/>
        <v>58.5975455207357</v>
      </c>
    </row>
    <row r="14" spans="1:11">
      <c r="A14" t="str">
        <f t="shared" si="0"/>
        <v>I_1024_O_4096</v>
      </c>
      <c r="B14" s="9">
        <v>1024</v>
      </c>
      <c r="C14" s="9">
        <v>4096</v>
      </c>
      <c r="D14" s="9">
        <v>8</v>
      </c>
      <c r="E14" s="9">
        <v>80</v>
      </c>
      <c r="F14" s="11">
        <v>0.190432571096878</v>
      </c>
      <c r="G14" s="11">
        <v>390.627191869611</v>
      </c>
      <c r="H14" s="11">
        <v>491.54931332954</v>
      </c>
      <c r="I14" s="11">
        <v>337.396991859714</v>
      </c>
      <c r="J14" s="11">
        <v>19.6350402002579</v>
      </c>
      <c r="K14" s="12">
        <f t="shared" si="1"/>
        <v>50.9293584225443</v>
      </c>
    </row>
    <row r="15" spans="1:11">
      <c r="A15" t="str">
        <f t="shared" si="0"/>
        <v>I_1024_O_4096</v>
      </c>
      <c r="B15" s="9">
        <v>1024</v>
      </c>
      <c r="C15" s="9">
        <v>4096</v>
      </c>
      <c r="D15" s="9">
        <v>16</v>
      </c>
      <c r="E15" s="9">
        <v>80</v>
      </c>
      <c r="F15" s="11">
        <v>0.301791030390391</v>
      </c>
      <c r="G15" s="11">
        <v>619.052623476171</v>
      </c>
      <c r="H15" s="11">
        <v>778.990552419439</v>
      </c>
      <c r="I15" s="11">
        <v>490.928161471674</v>
      </c>
      <c r="J15" s="11">
        <v>23.2630875328201</v>
      </c>
      <c r="K15" s="12">
        <f t="shared" si="1"/>
        <v>42.9865553568148</v>
      </c>
    </row>
    <row r="16" spans="1:11">
      <c r="A16" t="str">
        <f t="shared" si="0"/>
        <v>I_1024_O_16384</v>
      </c>
      <c r="B16" s="9">
        <v>1024</v>
      </c>
      <c r="C16" s="9">
        <v>16384</v>
      </c>
      <c r="D16" s="9">
        <v>1</v>
      </c>
      <c r="E16" s="9">
        <v>20</v>
      </c>
      <c r="F16" s="11">
        <v>0.0101670306661774</v>
      </c>
      <c r="G16" s="11">
        <v>67.8822136488667</v>
      </c>
      <c r="H16" s="11">
        <v>73.1289098241476</v>
      </c>
      <c r="I16" s="11">
        <v>267.587223398732</v>
      </c>
      <c r="J16" s="11">
        <v>14.657061785982</v>
      </c>
      <c r="K16" s="12">
        <f t="shared" si="1"/>
        <v>68.2264982301159</v>
      </c>
    </row>
    <row r="17" spans="1:11">
      <c r="A17" t="str">
        <f t="shared" si="0"/>
        <v>I_1024_O_16384</v>
      </c>
      <c r="B17" s="9">
        <v>1024</v>
      </c>
      <c r="C17" s="9">
        <v>16384</v>
      </c>
      <c r="D17" s="9">
        <v>4</v>
      </c>
      <c r="E17" s="9">
        <v>50</v>
      </c>
      <c r="F17" s="11">
        <v>0.0268804950605712</v>
      </c>
      <c r="G17" s="11">
        <v>230.143272169994</v>
      </c>
      <c r="H17" s="11">
        <v>244.634547057147</v>
      </c>
      <c r="I17" s="11">
        <v>290.449143594596</v>
      </c>
      <c r="J17" s="11">
        <v>17.0169175173266</v>
      </c>
      <c r="K17" s="12">
        <f t="shared" si="1"/>
        <v>58.7650494857133</v>
      </c>
    </row>
    <row r="18" spans="1:11">
      <c r="A18" t="str">
        <f t="shared" si="0"/>
        <v>I_1024_O_16384</v>
      </c>
      <c r="B18" s="9">
        <v>1024</v>
      </c>
      <c r="C18" s="9">
        <v>16384</v>
      </c>
      <c r="D18" s="9">
        <v>8</v>
      </c>
      <c r="E18" s="9">
        <v>100</v>
      </c>
      <c r="F18" s="11">
        <v>0.0477063154407907</v>
      </c>
      <c r="G18" s="11">
        <v>399.708318046974</v>
      </c>
      <c r="H18" s="11">
        <v>423.829108196992</v>
      </c>
      <c r="I18" s="11">
        <v>314.730126891518</v>
      </c>
      <c r="J18" s="11">
        <v>19.1136494821998</v>
      </c>
      <c r="K18" s="12">
        <f t="shared" si="1"/>
        <v>52.3186323434089</v>
      </c>
    </row>
    <row r="19" spans="1:11">
      <c r="A19" t="str">
        <f t="shared" si="0"/>
        <v>I_1024_O_16384</v>
      </c>
      <c r="B19" s="9">
        <v>1024</v>
      </c>
      <c r="C19" s="9">
        <v>16384</v>
      </c>
      <c r="D19" s="9">
        <v>16</v>
      </c>
      <c r="E19" s="9">
        <v>100</v>
      </c>
      <c r="F19" s="11">
        <v>0.0785801693185812</v>
      </c>
      <c r="G19" s="11">
        <v>658.385520239119</v>
      </c>
      <c r="H19" s="11">
        <v>698.116439648287</v>
      </c>
      <c r="I19" s="11">
        <v>440.799151528626</v>
      </c>
      <c r="J19" s="11">
        <v>21.9613720449005</v>
      </c>
      <c r="K19" s="12">
        <f t="shared" si="1"/>
        <v>45.5344956569871</v>
      </c>
    </row>
    <row r="20" spans="1:11">
      <c r="A20" t="str">
        <f t="shared" si="0"/>
        <v>I_1024_O_131072</v>
      </c>
      <c r="B20" s="9">
        <v>1024</v>
      </c>
      <c r="C20" s="9">
        <v>131072</v>
      </c>
      <c r="D20" s="9">
        <v>1</v>
      </c>
      <c r="E20" s="9">
        <v>5</v>
      </c>
      <c r="F20" s="11">
        <v>0.000899456076390017</v>
      </c>
      <c r="G20" s="11">
        <v>66.8643054803269</v>
      </c>
      <c r="H20" s="11">
        <v>67.2284053000496</v>
      </c>
      <c r="I20" s="11">
        <v>281.161212036386</v>
      </c>
      <c r="J20" s="11">
        <v>14.8708974347501</v>
      </c>
      <c r="K20" s="12">
        <f t="shared" si="1"/>
        <v>67.2454372298483</v>
      </c>
    </row>
    <row r="21" spans="1:11">
      <c r="A21" t="str">
        <f t="shared" si="0"/>
        <v>I_1024_O_131072</v>
      </c>
      <c r="B21" s="9">
        <v>1024</v>
      </c>
      <c r="C21" s="9">
        <v>131072</v>
      </c>
      <c r="D21" s="9">
        <v>2</v>
      </c>
      <c r="E21" s="9">
        <v>5</v>
      </c>
      <c r="F21" s="11">
        <v>0.00139145106663333</v>
      </c>
      <c r="G21" s="11">
        <v>103.438524262028</v>
      </c>
      <c r="H21" s="11">
        <v>104.001783653802</v>
      </c>
      <c r="I21" s="11">
        <v>394.098353432491</v>
      </c>
      <c r="J21" s="11">
        <v>16.0850553946458</v>
      </c>
      <c r="K21" s="12">
        <f t="shared" si="1"/>
        <v>62.1695092410355</v>
      </c>
    </row>
    <row r="22" spans="1:11">
      <c r="A22" t="str">
        <f t="shared" si="0"/>
        <v>I_1024_O_131072</v>
      </c>
      <c r="B22" s="9">
        <v>1024</v>
      </c>
      <c r="C22" s="9">
        <v>131072</v>
      </c>
      <c r="D22" s="9">
        <v>4</v>
      </c>
      <c r="E22" s="9">
        <v>8</v>
      </c>
      <c r="F22" s="11">
        <v>0.00394832554167808</v>
      </c>
      <c r="G22" s="11">
        <v>192.44336106416</v>
      </c>
      <c r="H22" s="11">
        <v>194.561637717271</v>
      </c>
      <c r="I22" s="11">
        <v>403.489646385423</v>
      </c>
      <c r="J22" s="11">
        <v>17.4003065142553</v>
      </c>
      <c r="K22" s="12">
        <f t="shared" si="1"/>
        <v>57.4702519855466</v>
      </c>
    </row>
    <row r="23" spans="1:11">
      <c r="A23" t="str">
        <f t="shared" si="0"/>
        <v>I_4096_O_1024</v>
      </c>
      <c r="B23" s="9">
        <v>4096</v>
      </c>
      <c r="C23" s="9">
        <v>1024</v>
      </c>
      <c r="D23" s="9">
        <v>8</v>
      </c>
      <c r="E23" s="9">
        <v>80</v>
      </c>
      <c r="F23" s="11">
        <v>0.547825639115536</v>
      </c>
      <c r="G23" s="11">
        <v>268.249672013411</v>
      </c>
      <c r="H23" s="11">
        <v>1414.061235326</v>
      </c>
      <c r="I23" s="11">
        <v>892.807476133748</v>
      </c>
      <c r="J23" s="11">
        <v>27.8953132908411</v>
      </c>
      <c r="K23" s="12">
        <f t="shared" si="1"/>
        <v>35.8483157931885</v>
      </c>
    </row>
    <row r="24" spans="1:11">
      <c r="A24" t="str">
        <f t="shared" si="0"/>
        <v>I_4096_O_1024</v>
      </c>
      <c r="B24" s="9">
        <v>4096</v>
      </c>
      <c r="C24" s="9">
        <v>1024</v>
      </c>
      <c r="D24" s="9">
        <v>16</v>
      </c>
      <c r="E24" s="9">
        <v>160</v>
      </c>
      <c r="F24" s="11">
        <v>0.499899554529517</v>
      </c>
      <c r="G24" s="11">
        <v>251.121416845687</v>
      </c>
      <c r="H24" s="11">
        <v>1286.61960284256</v>
      </c>
      <c r="I24" s="11">
        <v>842.691015623859</v>
      </c>
      <c r="J24" s="11">
        <v>57.3158042701854</v>
      </c>
      <c r="K24" s="12">
        <f t="shared" si="1"/>
        <v>17.4471947612568</v>
      </c>
    </row>
    <row r="25" spans="1:11">
      <c r="A25" t="str">
        <f t="shared" si="0"/>
        <v>I_4096_O_1024</v>
      </c>
      <c r="B25" s="9">
        <v>4096</v>
      </c>
      <c r="C25" s="9">
        <v>1024</v>
      </c>
      <c r="D25" s="9">
        <v>32</v>
      </c>
      <c r="E25" s="9">
        <v>320</v>
      </c>
      <c r="F25" s="11">
        <v>1.14625763110588</v>
      </c>
      <c r="G25" s="11">
        <v>612.033515963696</v>
      </c>
      <c r="H25" s="11">
        <v>2974.78929657658</v>
      </c>
      <c r="I25" s="11">
        <v>1104.32238784123</v>
      </c>
      <c r="J25" s="11">
        <v>50.188890248081</v>
      </c>
      <c r="K25" s="12">
        <f t="shared" si="1"/>
        <v>19.9247282627102</v>
      </c>
    </row>
    <row r="26" spans="1:11">
      <c r="A26" t="str">
        <f t="shared" si="0"/>
        <v>I_4096_O_1024</v>
      </c>
      <c r="B26" s="9">
        <v>4096</v>
      </c>
      <c r="C26" s="9">
        <v>1024</v>
      </c>
      <c r="D26" s="9">
        <v>64</v>
      </c>
      <c r="E26" s="9">
        <v>320</v>
      </c>
      <c r="F26" s="11">
        <v>1.34283205928198</v>
      </c>
      <c r="G26" s="11">
        <v>716.992589003058</v>
      </c>
      <c r="H26" s="11">
        <v>3484.94293834971</v>
      </c>
      <c r="I26" s="11">
        <v>2957.61730086014</v>
      </c>
      <c r="J26" s="11">
        <v>83.0895834737326</v>
      </c>
      <c r="K26" s="12">
        <f t="shared" si="1"/>
        <v>12.0352029483471</v>
      </c>
    </row>
    <row r="27" spans="1:11">
      <c r="A27" t="str">
        <f t="shared" si="0"/>
        <v>I_4096_O_4096</v>
      </c>
      <c r="B27" s="9">
        <v>4096</v>
      </c>
      <c r="C27" s="9">
        <v>4096</v>
      </c>
      <c r="D27" s="9">
        <v>1</v>
      </c>
      <c r="E27" s="9">
        <v>10</v>
      </c>
      <c r="F27" s="11">
        <v>0.0310714144154604</v>
      </c>
      <c r="G27" s="11">
        <v>70.3829679339009</v>
      </c>
      <c r="H27" s="11">
        <v>137.06533041092</v>
      </c>
      <c r="I27" s="11">
        <v>461.691611201968</v>
      </c>
      <c r="J27" s="11">
        <v>14.1411278825605</v>
      </c>
      <c r="K27" s="12">
        <f t="shared" si="1"/>
        <v>70.715717183581</v>
      </c>
    </row>
    <row r="28" spans="1:11">
      <c r="A28" t="str">
        <f t="shared" si="0"/>
        <v>I_4096_O_4096</v>
      </c>
      <c r="B28" s="9">
        <v>4096</v>
      </c>
      <c r="C28" s="9">
        <v>4096</v>
      </c>
      <c r="D28" s="9">
        <v>2</v>
      </c>
      <c r="E28" s="9">
        <v>20</v>
      </c>
      <c r="F28" s="11">
        <v>0.0580326586025888</v>
      </c>
      <c r="G28" s="11">
        <v>125.99470509208</v>
      </c>
      <c r="H28" s="11">
        <v>253.99443853888</v>
      </c>
      <c r="I28" s="11">
        <v>505.501383013324</v>
      </c>
      <c r="J28" s="11">
        <v>15.5310490829263</v>
      </c>
      <c r="K28" s="12">
        <f t="shared" si="1"/>
        <v>64.3871508396253</v>
      </c>
    </row>
    <row r="29" spans="1:11">
      <c r="A29" t="str">
        <f t="shared" si="0"/>
        <v>I_4096_O_4096</v>
      </c>
      <c r="B29" s="9">
        <v>4096</v>
      </c>
      <c r="C29" s="9">
        <v>4096</v>
      </c>
      <c r="D29" s="9">
        <v>4</v>
      </c>
      <c r="E29" s="9">
        <v>40</v>
      </c>
      <c r="F29" s="11">
        <v>0.105943147708395</v>
      </c>
      <c r="G29" s="11">
        <v>211.330093891321</v>
      </c>
      <c r="H29" s="11">
        <v>443.17342975768</v>
      </c>
      <c r="I29" s="11">
        <v>537.14727924962</v>
      </c>
      <c r="J29" s="11">
        <v>17.2341268838219</v>
      </c>
      <c r="K29" s="12">
        <f t="shared" si="1"/>
        <v>58.0244074295823</v>
      </c>
    </row>
    <row r="30" spans="1:11">
      <c r="A30" t="str">
        <f t="shared" si="0"/>
        <v>I_4096_O_4096</v>
      </c>
      <c r="B30" s="9">
        <v>4096</v>
      </c>
      <c r="C30" s="9">
        <v>4096</v>
      </c>
      <c r="D30" s="9">
        <v>8</v>
      </c>
      <c r="E30" s="9">
        <v>40</v>
      </c>
      <c r="F30" s="11">
        <v>0.168870430841858</v>
      </c>
      <c r="G30" s="11">
        <v>336.854291921798</v>
      </c>
      <c r="H30" s="11">
        <v>706.406121015351</v>
      </c>
      <c r="I30" s="11">
        <v>813.570864702342</v>
      </c>
      <c r="J30" s="11">
        <v>20.0338998533311</v>
      </c>
      <c r="K30" s="12">
        <f t="shared" si="1"/>
        <v>49.9153937736055</v>
      </c>
    </row>
    <row r="31" spans="1:11">
      <c r="A31" t="str">
        <f t="shared" si="0"/>
        <v>I_8192_O_1024</v>
      </c>
      <c r="B31" s="9">
        <v>8192</v>
      </c>
      <c r="C31" s="9">
        <v>1024</v>
      </c>
      <c r="D31" s="9">
        <v>1</v>
      </c>
      <c r="E31" s="9">
        <v>30</v>
      </c>
      <c r="F31" s="11">
        <v>0.114456545154719</v>
      </c>
      <c r="G31" s="11">
        <v>62.2643605641674</v>
      </c>
      <c r="H31" s="11">
        <v>576.357378781106</v>
      </c>
      <c r="I31" s="11">
        <v>888.74406866574</v>
      </c>
      <c r="J31" s="11">
        <v>14.4859546678681</v>
      </c>
      <c r="K31" s="12">
        <f t="shared" si="1"/>
        <v>69.0323850189965</v>
      </c>
    </row>
    <row r="32" spans="1:11">
      <c r="A32" t="str">
        <f t="shared" si="0"/>
        <v>I_8192_O_1024</v>
      </c>
      <c r="B32" s="9">
        <v>8192</v>
      </c>
      <c r="C32" s="9">
        <v>1024</v>
      </c>
      <c r="D32" s="9">
        <v>4</v>
      </c>
      <c r="E32" s="9">
        <v>100</v>
      </c>
      <c r="F32" s="11">
        <v>0.334252934371691</v>
      </c>
      <c r="G32" s="11">
        <v>175.29560890189</v>
      </c>
      <c r="H32" s="11">
        <v>1477.22750092634</v>
      </c>
      <c r="I32" s="11">
        <v>821.46595771308</v>
      </c>
      <c r="J32" s="11">
        <v>20.8917409033818</v>
      </c>
      <c r="K32" s="12">
        <f t="shared" si="1"/>
        <v>47.8658051822827</v>
      </c>
    </row>
    <row r="33" spans="1:11">
      <c r="A33" t="str">
        <f t="shared" si="0"/>
        <v>I_8192_O_1024</v>
      </c>
      <c r="B33" s="9">
        <v>8192</v>
      </c>
      <c r="C33" s="9">
        <v>1024</v>
      </c>
      <c r="D33" s="9">
        <v>8</v>
      </c>
      <c r="E33" s="9">
        <v>200</v>
      </c>
      <c r="F33" s="11">
        <v>0.508641731919989</v>
      </c>
      <c r="G33" s="11">
        <v>252.095558382844</v>
      </c>
      <c r="H33" s="11">
        <v>2331.82224223131</v>
      </c>
      <c r="I33" s="11">
        <v>934.778272995026</v>
      </c>
      <c r="J33" s="11">
        <v>30.9302582726251</v>
      </c>
      <c r="K33" s="12">
        <f t="shared" si="1"/>
        <v>32.3308001887929</v>
      </c>
    </row>
    <row r="34" spans="1:11">
      <c r="A34" t="str">
        <f t="shared" si="0"/>
        <v>I_8192_O_1024</v>
      </c>
      <c r="B34" s="9">
        <v>8192</v>
      </c>
      <c r="C34" s="9">
        <v>1024</v>
      </c>
      <c r="D34" s="9">
        <v>16</v>
      </c>
      <c r="E34" s="9">
        <v>300</v>
      </c>
      <c r="F34" s="11">
        <v>0.670147673719037</v>
      </c>
      <c r="G34" s="11">
        <v>348.780590612652</v>
      </c>
      <c r="H34" s="11">
        <v>3128.09744078109</v>
      </c>
      <c r="I34" s="11">
        <v>1172.01520689646</v>
      </c>
      <c r="J34" s="11">
        <v>43.6627669704923</v>
      </c>
      <c r="K34" s="12">
        <f t="shared" si="1"/>
        <v>22.9028087174551</v>
      </c>
    </row>
    <row r="35" spans="1:11">
      <c r="A35" t="str">
        <f t="shared" ref="A35:A58" si="2">_xlfn.CONCAT("I_",B35,"_O_",C35)</f>
        <v>I_8192_O_1024</v>
      </c>
      <c r="B35" s="9">
        <v>8192</v>
      </c>
      <c r="C35" s="9">
        <v>1024</v>
      </c>
      <c r="D35" s="9">
        <v>32</v>
      </c>
      <c r="E35" s="9">
        <v>500</v>
      </c>
      <c r="F35" s="11">
        <v>0.824430710774651</v>
      </c>
      <c r="G35" s="11">
        <v>428.166440779393</v>
      </c>
      <c r="H35" s="11">
        <v>3842.5759089582</v>
      </c>
      <c r="I35" s="11">
        <v>1753.77660470525</v>
      </c>
      <c r="J35" s="11">
        <v>72.69541364362</v>
      </c>
      <c r="K35" s="12">
        <f t="shared" ref="K35:K58" si="3">1000/J35</f>
        <v>13.7560259977661</v>
      </c>
    </row>
    <row r="36" spans="1:11">
      <c r="A36" t="str">
        <f t="shared" si="2"/>
        <v>I_8192_O_16384</v>
      </c>
      <c r="B36" s="9">
        <v>8192</v>
      </c>
      <c r="C36" s="9">
        <v>16384</v>
      </c>
      <c r="D36" s="9">
        <v>1</v>
      </c>
      <c r="E36" s="9">
        <v>20</v>
      </c>
      <c r="F36" s="11">
        <v>0.00995617042752379</v>
      </c>
      <c r="G36" s="11">
        <v>66.4743630934481</v>
      </c>
      <c r="H36" s="11">
        <v>110.863451136041</v>
      </c>
      <c r="I36" s="11">
        <v>872.269659448647</v>
      </c>
      <c r="J36" s="11">
        <v>15.0655308766658</v>
      </c>
      <c r="K36" s="12">
        <f t="shared" si="3"/>
        <v>66.3766851753526</v>
      </c>
    </row>
    <row r="37" spans="1:11">
      <c r="A37" t="str">
        <f t="shared" si="2"/>
        <v>I_8192_O_16384</v>
      </c>
      <c r="B37" s="9">
        <v>8192</v>
      </c>
      <c r="C37" s="9">
        <v>16384</v>
      </c>
      <c r="D37" s="9">
        <v>4</v>
      </c>
      <c r="E37" s="9">
        <v>50</v>
      </c>
      <c r="F37" s="11">
        <v>0.0260744539938256</v>
      </c>
      <c r="G37" s="11">
        <v>223.242174248017</v>
      </c>
      <c r="H37" s="11">
        <v>331.283760327753</v>
      </c>
      <c r="I37" s="11">
        <v>915.055574297439</v>
      </c>
      <c r="J37" s="11">
        <v>17.4096328355509</v>
      </c>
      <c r="K37" s="12">
        <f t="shared" si="3"/>
        <v>57.4394652343256</v>
      </c>
    </row>
    <row r="38" spans="1:11">
      <c r="A38" t="str">
        <f t="shared" si="2"/>
        <v>I_8192_O_16384</v>
      </c>
      <c r="B38" s="9">
        <v>8192</v>
      </c>
      <c r="C38" s="9">
        <v>16384</v>
      </c>
      <c r="D38" s="9">
        <v>8</v>
      </c>
      <c r="E38" s="9">
        <v>50</v>
      </c>
      <c r="F38" s="11">
        <v>0.0442239620469508</v>
      </c>
      <c r="G38" s="11">
        <v>378.63318033662</v>
      </c>
      <c r="H38" s="11">
        <v>561.878704995125</v>
      </c>
      <c r="I38" s="11">
        <v>1247.85646873293</v>
      </c>
      <c r="J38" s="11">
        <v>19.6661482798064</v>
      </c>
      <c r="K38" s="12">
        <f t="shared" si="3"/>
        <v>50.8487979329852</v>
      </c>
    </row>
    <row r="39" spans="1:11">
      <c r="A39" t="str">
        <f t="shared" si="2"/>
        <v>I_8192_O_16384</v>
      </c>
      <c r="B39" s="9">
        <v>8192</v>
      </c>
      <c r="C39" s="9">
        <v>16384</v>
      </c>
      <c r="D39" s="9">
        <v>16</v>
      </c>
      <c r="E39" s="9">
        <v>80</v>
      </c>
      <c r="F39" s="11">
        <v>0.077017391441778</v>
      </c>
      <c r="G39" s="11">
        <v>587.801545070614</v>
      </c>
      <c r="H39" s="11">
        <v>898.733269647182</v>
      </c>
      <c r="I39" s="11">
        <v>1961.93223911395</v>
      </c>
      <c r="J39" s="11">
        <v>23.1066534706391</v>
      </c>
      <c r="K39" s="12">
        <f t="shared" si="3"/>
        <v>43.2775780911186</v>
      </c>
    </row>
    <row r="40" spans="1:11">
      <c r="A40" t="str">
        <f t="shared" si="2"/>
        <v>I_16384_O_1024</v>
      </c>
      <c r="B40" s="9">
        <v>16384</v>
      </c>
      <c r="C40" s="9">
        <v>1024</v>
      </c>
      <c r="D40" s="9">
        <v>1</v>
      </c>
      <c r="E40" s="9">
        <v>10</v>
      </c>
      <c r="F40" s="11">
        <v>0.131695110057496</v>
      </c>
      <c r="G40" s="11">
        <v>55.5753364442635</v>
      </c>
      <c r="H40" s="11">
        <v>1039.45633417281</v>
      </c>
      <c r="I40" s="11">
        <v>1649.71802470972</v>
      </c>
      <c r="J40" s="11">
        <v>14.0889314660244</v>
      </c>
      <c r="K40" s="12">
        <f t="shared" si="3"/>
        <v>70.9777034838667</v>
      </c>
    </row>
    <row r="41" spans="1:11">
      <c r="A41" t="str">
        <f t="shared" si="2"/>
        <v>I_16384_O_1024</v>
      </c>
      <c r="B41" s="9">
        <v>16384</v>
      </c>
      <c r="C41" s="9">
        <v>1024</v>
      </c>
      <c r="D41" s="9">
        <v>2</v>
      </c>
      <c r="E41" s="9">
        <v>20</v>
      </c>
      <c r="F41" s="11">
        <v>0.158413119046667</v>
      </c>
      <c r="G41" s="11">
        <v>92.497420211349</v>
      </c>
      <c r="H41" s="11">
        <v>1382.74851287859</v>
      </c>
      <c r="I41" s="11">
        <v>1795.32477694447</v>
      </c>
      <c r="J41" s="11">
        <v>17.9804656423487</v>
      </c>
      <c r="K41" s="12">
        <f t="shared" si="3"/>
        <v>55.6159122845372</v>
      </c>
    </row>
    <row r="42" spans="1:11">
      <c r="A42" t="str">
        <f t="shared" si="2"/>
        <v>I_16384_O_1024</v>
      </c>
      <c r="B42" s="9">
        <v>16384</v>
      </c>
      <c r="C42" s="9">
        <v>1024</v>
      </c>
      <c r="D42" s="9">
        <v>4</v>
      </c>
      <c r="E42" s="9">
        <v>40</v>
      </c>
      <c r="F42" s="11">
        <v>0.269104628007774</v>
      </c>
      <c r="G42" s="11">
        <v>137.229905052564</v>
      </c>
      <c r="H42" s="11">
        <v>2131.50375467687</v>
      </c>
      <c r="I42" s="11">
        <v>1831.67558884888</v>
      </c>
      <c r="J42" s="11">
        <v>24.8466075010286</v>
      </c>
      <c r="K42" s="12">
        <f t="shared" si="3"/>
        <v>40.2469431675371</v>
      </c>
    </row>
    <row r="43" spans="1:11">
      <c r="A43" t="str">
        <f t="shared" si="2"/>
        <v>I_16384_O_1024</v>
      </c>
      <c r="B43" s="9">
        <v>16384</v>
      </c>
      <c r="C43" s="9">
        <v>1024</v>
      </c>
      <c r="D43" s="9">
        <v>8</v>
      </c>
      <c r="E43" s="9">
        <v>80</v>
      </c>
      <c r="F43" s="11">
        <v>0.358651252500995</v>
      </c>
      <c r="G43" s="11">
        <v>175.618068927768</v>
      </c>
      <c r="H43" s="11">
        <v>3019.13520983469</v>
      </c>
      <c r="I43" s="11">
        <v>2308.94061775761</v>
      </c>
      <c r="J43" s="11">
        <v>48.1808388890728</v>
      </c>
      <c r="K43" s="12">
        <f t="shared" si="3"/>
        <v>20.7551388281617</v>
      </c>
    </row>
    <row r="44" spans="1:11">
      <c r="A44" t="str">
        <f t="shared" si="2"/>
        <v>I_16384_O_1024</v>
      </c>
      <c r="B44" s="9">
        <v>16384</v>
      </c>
      <c r="C44" s="9">
        <v>1024</v>
      </c>
      <c r="D44" s="9">
        <v>16</v>
      </c>
      <c r="E44" s="9">
        <v>80</v>
      </c>
      <c r="F44" s="11">
        <v>0.443940231426896</v>
      </c>
      <c r="G44" s="11">
        <v>217.380883571072</v>
      </c>
      <c r="H44" s="11">
        <v>3737.09996665739</v>
      </c>
      <c r="I44" s="11">
        <v>3931.48609178606</v>
      </c>
      <c r="J44" s="11">
        <v>98.222533054476</v>
      </c>
      <c r="K44" s="12">
        <f t="shared" si="3"/>
        <v>10.1809632566224</v>
      </c>
    </row>
    <row r="45" spans="1:11">
      <c r="A45" t="str">
        <f t="shared" si="2"/>
        <v>I_16384_O_4096</v>
      </c>
      <c r="B45" s="9">
        <v>16384</v>
      </c>
      <c r="C45" s="9">
        <v>4096</v>
      </c>
      <c r="D45" s="9">
        <v>1</v>
      </c>
      <c r="E45" s="9">
        <v>5</v>
      </c>
      <c r="F45" s="11">
        <v>0.0299473837736647</v>
      </c>
      <c r="G45" s="11">
        <v>67.3516661069721</v>
      </c>
      <c r="H45" s="11">
        <v>349.336231719799</v>
      </c>
      <c r="I45" s="11">
        <v>1821.03564522694</v>
      </c>
      <c r="J45" s="11">
        <v>14.1919561952629</v>
      </c>
      <c r="K45" s="12">
        <f t="shared" si="3"/>
        <v>70.4624497314745</v>
      </c>
    </row>
    <row r="46" spans="1:11">
      <c r="A46" t="str">
        <f t="shared" si="2"/>
        <v>I_16384_O_4096</v>
      </c>
      <c r="B46" s="9">
        <v>16384</v>
      </c>
      <c r="C46" s="9">
        <v>4096</v>
      </c>
      <c r="D46" s="9">
        <v>2</v>
      </c>
      <c r="E46" s="9">
        <v>10</v>
      </c>
      <c r="F46" s="11">
        <v>0.0527927042150902</v>
      </c>
      <c r="G46" s="11">
        <v>119.586033588022</v>
      </c>
      <c r="H46" s="11">
        <v>513.99504750854</v>
      </c>
      <c r="I46" s="11">
        <v>1665.13745710253</v>
      </c>
      <c r="J46" s="11">
        <v>17.4051241466291</v>
      </c>
      <c r="K46" s="12">
        <f t="shared" si="3"/>
        <v>57.454344569767</v>
      </c>
    </row>
    <row r="47" spans="1:11">
      <c r="A47" t="str">
        <f t="shared" si="2"/>
        <v>I_16384_O_4096</v>
      </c>
      <c r="B47" s="9">
        <v>16384</v>
      </c>
      <c r="C47" s="9">
        <v>4096</v>
      </c>
      <c r="D47" s="9">
        <v>4</v>
      </c>
      <c r="E47" s="9">
        <v>20</v>
      </c>
      <c r="F47" s="11">
        <v>0.0872244445407385</v>
      </c>
      <c r="G47" s="11">
        <v>189.372991542397</v>
      </c>
      <c r="H47" s="11">
        <v>899.803008660031</v>
      </c>
      <c r="I47" s="11">
        <v>1935.14365211594</v>
      </c>
      <c r="J47" s="11">
        <v>18.9858760774422</v>
      </c>
      <c r="K47" s="12">
        <f t="shared" si="3"/>
        <v>52.6707324919357</v>
      </c>
    </row>
    <row r="48" spans="1:11">
      <c r="A48" t="str">
        <f t="shared" si="2"/>
        <v>I_32768_O_1024</v>
      </c>
      <c r="B48" s="9">
        <v>32768</v>
      </c>
      <c r="C48" s="9">
        <v>1024</v>
      </c>
      <c r="D48" s="9">
        <v>1</v>
      </c>
      <c r="E48" s="9">
        <v>20</v>
      </c>
      <c r="F48" s="11">
        <v>0.0825970249837699</v>
      </c>
      <c r="G48" s="11">
        <v>48.2284028880232</v>
      </c>
      <c r="H48" s="11">
        <v>1397.60361049412</v>
      </c>
      <c r="I48" s="11">
        <v>3331.04369965731</v>
      </c>
      <c r="J48" s="11">
        <v>15.0291068621702</v>
      </c>
      <c r="K48" s="12">
        <f t="shared" si="3"/>
        <v>66.537553373654</v>
      </c>
    </row>
    <row r="49" spans="1:11">
      <c r="A49" t="str">
        <f t="shared" si="2"/>
        <v>I_32768_O_1024</v>
      </c>
      <c r="B49" s="9">
        <v>32768</v>
      </c>
      <c r="C49" s="9">
        <v>1024</v>
      </c>
      <c r="D49" s="9">
        <v>4</v>
      </c>
      <c r="E49" s="9">
        <v>50</v>
      </c>
      <c r="F49" s="11">
        <v>0.187550681521276</v>
      </c>
      <c r="G49" s="11">
        <v>88.5464277598249</v>
      </c>
      <c r="H49" s="11">
        <v>3170.30045523119</v>
      </c>
      <c r="I49" s="11">
        <v>3465.93258427688</v>
      </c>
      <c r="J49" s="11">
        <v>37.1848656409845</v>
      </c>
      <c r="K49" s="12">
        <f t="shared" si="3"/>
        <v>26.892661376133</v>
      </c>
    </row>
    <row r="50" spans="1:11">
      <c r="A50" t="str">
        <f t="shared" si="2"/>
        <v>I_32768_O_1024</v>
      </c>
      <c r="B50" s="9">
        <v>32768</v>
      </c>
      <c r="C50" s="9">
        <v>1024</v>
      </c>
      <c r="D50" s="9">
        <v>8</v>
      </c>
      <c r="E50" s="9">
        <v>100</v>
      </c>
      <c r="F50" s="11">
        <v>0.218479865600087</v>
      </c>
      <c r="G50" s="11">
        <v>114.579580715309</v>
      </c>
      <c r="H50" s="11">
        <v>3632.35229912484</v>
      </c>
      <c r="I50" s="11">
        <v>4043.58599194092</v>
      </c>
      <c r="J50" s="11">
        <v>63.1203819062962</v>
      </c>
      <c r="K50" s="12">
        <f t="shared" si="3"/>
        <v>15.842743180555</v>
      </c>
    </row>
    <row r="51" spans="1:11">
      <c r="A51" t="str">
        <f t="shared" si="2"/>
        <v>I_32768_O_1024</v>
      </c>
      <c r="B51" s="9">
        <v>32768</v>
      </c>
      <c r="C51" s="9">
        <v>1024</v>
      </c>
      <c r="D51" s="9">
        <v>16</v>
      </c>
      <c r="E51" s="9">
        <v>200</v>
      </c>
      <c r="F51" s="11">
        <v>0.261410800822363</v>
      </c>
      <c r="G51" s="11">
        <v>129.561728157583</v>
      </c>
      <c r="H51" s="11">
        <v>4207.18986827125</v>
      </c>
      <c r="I51" s="11">
        <v>4728.07577930623</v>
      </c>
      <c r="J51" s="11">
        <v>121.95532913717</v>
      </c>
      <c r="K51" s="12">
        <f t="shared" si="3"/>
        <v>8.19972367812844</v>
      </c>
    </row>
    <row r="52" spans="1:11">
      <c r="A52" t="str">
        <f t="shared" si="2"/>
        <v>I_32768_O_1024</v>
      </c>
      <c r="B52" s="9">
        <v>32768</v>
      </c>
      <c r="C52" s="9">
        <v>1024</v>
      </c>
      <c r="D52" s="9">
        <v>32</v>
      </c>
      <c r="E52" s="9">
        <v>200</v>
      </c>
      <c r="F52" s="11">
        <v>0.282924687650524</v>
      </c>
      <c r="G52" s="11">
        <v>140.224548316791</v>
      </c>
      <c r="H52" s="11">
        <v>4553.43802024444</v>
      </c>
      <c r="I52" s="11">
        <v>10486.5790035628</v>
      </c>
      <c r="J52" s="11">
        <v>266.946359093917</v>
      </c>
      <c r="K52" s="12">
        <f t="shared" si="3"/>
        <v>3.7460709462165</v>
      </c>
    </row>
    <row r="53" spans="1:11">
      <c r="A53" t="str">
        <f t="shared" si="2"/>
        <v>I_65536_O_1024</v>
      </c>
      <c r="B53" s="9">
        <v>65536</v>
      </c>
      <c r="C53" s="9">
        <v>1024</v>
      </c>
      <c r="D53" s="9">
        <v>1</v>
      </c>
      <c r="E53" s="9">
        <v>5</v>
      </c>
      <c r="F53" s="11">
        <v>0.0564685230260938</v>
      </c>
      <c r="G53" s="11">
        <v>46.0444336754769</v>
      </c>
      <c r="H53" s="11">
        <v>1687.9683840006</v>
      </c>
      <c r="I53" s="11">
        <v>6539.03330098837</v>
      </c>
      <c r="J53" s="11">
        <v>13.6991573800601</v>
      </c>
      <c r="K53" s="12">
        <f t="shared" si="3"/>
        <v>72.9971904297966</v>
      </c>
    </row>
    <row r="54" spans="1:11">
      <c r="A54" t="str">
        <f t="shared" si="2"/>
        <v>I_65536_O_1024</v>
      </c>
      <c r="B54" s="9">
        <v>65536</v>
      </c>
      <c r="C54" s="9">
        <v>1024</v>
      </c>
      <c r="D54" s="9">
        <v>2</v>
      </c>
      <c r="E54" s="9">
        <v>10</v>
      </c>
      <c r="F54" s="11">
        <v>0.0895848436337049</v>
      </c>
      <c r="G54" s="11">
        <v>37.8048040134234</v>
      </c>
      <c r="H54" s="11">
        <v>2908.7213294584</v>
      </c>
      <c r="I54" s="11">
        <v>8598.324030207</v>
      </c>
      <c r="J54" s="11">
        <v>44.8720216360286</v>
      </c>
      <c r="K54" s="12">
        <f t="shared" si="3"/>
        <v>22.2856016631326</v>
      </c>
    </row>
    <row r="55" spans="1:11">
      <c r="A55" t="str">
        <f t="shared" si="2"/>
        <v>I_65536_O_1024</v>
      </c>
      <c r="B55" s="9">
        <v>65536</v>
      </c>
      <c r="C55" s="9">
        <v>1024</v>
      </c>
      <c r="D55" s="9">
        <v>4</v>
      </c>
      <c r="E55" s="9">
        <v>20</v>
      </c>
      <c r="F55" s="11">
        <v>0.0903923432807458</v>
      </c>
      <c r="G55" s="11">
        <v>52.7800892416275</v>
      </c>
      <c r="H55" s="11">
        <v>3158.59321011059</v>
      </c>
      <c r="I55" s="11">
        <v>9852.11429301416</v>
      </c>
      <c r="J55" s="11">
        <v>52.9632025823116</v>
      </c>
      <c r="K55" s="12">
        <f t="shared" si="3"/>
        <v>18.8810334580102</v>
      </c>
    </row>
    <row r="56" spans="1:11">
      <c r="A56" t="str">
        <f t="shared" si="2"/>
        <v>I_65536_O_1024</v>
      </c>
      <c r="B56" s="9">
        <v>65536</v>
      </c>
      <c r="C56" s="9">
        <v>1024</v>
      </c>
      <c r="D56" s="9">
        <v>8</v>
      </c>
      <c r="E56" s="9">
        <v>40</v>
      </c>
      <c r="F56" s="11">
        <v>0.105908722805578</v>
      </c>
      <c r="G56" s="11">
        <v>54.0081531947045</v>
      </c>
      <c r="H56" s="11">
        <v>3701.96791728108</v>
      </c>
      <c r="I56" s="11">
        <v>11552.1533865161</v>
      </c>
      <c r="J56" s="11">
        <v>340.571606635518</v>
      </c>
      <c r="K56" s="12">
        <f t="shared" si="3"/>
        <v>2.93624007555688</v>
      </c>
    </row>
    <row r="57" spans="1:11">
      <c r="A57" t="str">
        <f t="shared" si="2"/>
        <v>I_65536_O_4096</v>
      </c>
      <c r="B57" s="9">
        <v>65536</v>
      </c>
      <c r="C57" s="9">
        <v>4096</v>
      </c>
      <c r="D57" s="9">
        <v>1</v>
      </c>
      <c r="E57" s="9">
        <v>3</v>
      </c>
      <c r="F57" s="11">
        <v>0.0278125540932532</v>
      </c>
      <c r="G57" s="11">
        <v>54.1695845222928</v>
      </c>
      <c r="H57" s="11">
        <v>1052.44558859143</v>
      </c>
      <c r="I57" s="11">
        <v>8131.33292396863</v>
      </c>
      <c r="J57" s="11">
        <v>14.3144916322863</v>
      </c>
      <c r="K57" s="12">
        <f t="shared" si="3"/>
        <v>69.8592744812888</v>
      </c>
    </row>
    <row r="58" spans="1:11">
      <c r="A58" t="str">
        <f t="shared" si="2"/>
        <v>I_65536_O_4096</v>
      </c>
      <c r="B58" s="9">
        <v>65536</v>
      </c>
      <c r="C58" s="9">
        <v>4096</v>
      </c>
      <c r="D58" s="9">
        <v>2</v>
      </c>
      <c r="E58" s="9">
        <v>6</v>
      </c>
      <c r="F58" s="11">
        <v>0.0455717791013943</v>
      </c>
      <c r="G58" s="11">
        <v>80.6164772303665</v>
      </c>
      <c r="H58" s="11">
        <v>1565.05641908615</v>
      </c>
      <c r="I58" s="11">
        <v>9811.99252432755</v>
      </c>
      <c r="J58" s="11">
        <v>17.5735366655308</v>
      </c>
      <c r="K58" s="12">
        <f t="shared" si="3"/>
        <v>56.903742202412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K58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workbookViewId="0">
      <selection activeCell="M5" sqref="M5:M6"/>
    </sheetView>
  </sheetViews>
  <sheetFormatPr defaultColWidth="9.23333333333333" defaultRowHeight="13.5"/>
  <cols>
    <col min="1" max="1" width="30.5666666666667" customWidth="1"/>
    <col min="6" max="6" width="10.7666666666667"/>
    <col min="7" max="7" width="13"/>
    <col min="8" max="8" width="14.15"/>
    <col min="9" max="9" width="16.3833333333333"/>
    <col min="10" max="10" width="13"/>
    <col min="11" max="11" width="11.7666666666667"/>
  </cols>
  <sheetData>
    <row r="1" s="62" customFormat="1" ht="40.5" spans="1:13">
      <c r="A1" s="13" t="s">
        <v>11</v>
      </c>
      <c r="B1" s="13" t="s">
        <v>1</v>
      </c>
      <c r="C1" s="13" t="s">
        <v>2</v>
      </c>
      <c r="D1" s="13" t="s">
        <v>3</v>
      </c>
      <c r="E1" s="13" t="s">
        <v>12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23" t="s">
        <v>10</v>
      </c>
      <c r="L1" s="82"/>
      <c r="M1" s="82"/>
    </row>
    <row r="2" spans="1:13">
      <c r="A2" s="9" t="s">
        <v>13</v>
      </c>
      <c r="B2" s="9">
        <v>1024</v>
      </c>
      <c r="C2" s="9">
        <v>1024</v>
      </c>
      <c r="D2" s="9">
        <v>2</v>
      </c>
      <c r="E2" s="9">
        <v>32</v>
      </c>
      <c r="F2" s="11">
        <v>0.0656661672002586</v>
      </c>
      <c r="G2" s="11">
        <v>34.1340945377844</v>
      </c>
      <c r="H2" s="11">
        <v>69.2408691772227</v>
      </c>
      <c r="I2" s="11">
        <v>293.305060906277</v>
      </c>
      <c r="J2" s="11">
        <v>56.5115134292356</v>
      </c>
      <c r="K2" s="11">
        <f t="shared" ref="K2:K25" si="0">1000/J2</f>
        <v>17.6955090974906</v>
      </c>
      <c r="L2" s="56"/>
      <c r="M2" s="56"/>
    </row>
    <row r="3" spans="1:13">
      <c r="A3" s="9" t="s">
        <v>14</v>
      </c>
      <c r="B3" s="9">
        <v>1024</v>
      </c>
      <c r="C3" s="9">
        <v>1024</v>
      </c>
      <c r="D3" s="9">
        <v>4</v>
      </c>
      <c r="E3" s="9">
        <v>32</v>
      </c>
      <c r="F3" s="11">
        <v>0.123205107168771</v>
      </c>
      <c r="G3" s="11">
        <v>64.043554770167</v>
      </c>
      <c r="H3" s="11">
        <v>129.912085190271</v>
      </c>
      <c r="I3" s="11">
        <v>307.511007045832</v>
      </c>
      <c r="J3" s="11">
        <v>59.7243259821044</v>
      </c>
      <c r="K3" s="11">
        <f t="shared" si="0"/>
        <v>16.7435962408288</v>
      </c>
      <c r="L3" s="56"/>
      <c r="M3" s="56"/>
    </row>
    <row r="4" spans="1:13">
      <c r="A4" s="9" t="s">
        <v>15</v>
      </c>
      <c r="B4" s="9">
        <v>1024</v>
      </c>
      <c r="C4" s="9">
        <v>1024</v>
      </c>
      <c r="D4" s="9">
        <v>8</v>
      </c>
      <c r="E4" s="9">
        <v>32</v>
      </c>
      <c r="F4" s="11">
        <v>0.20894466496314</v>
      </c>
      <c r="G4" s="11">
        <v>108.612048656152</v>
      </c>
      <c r="H4" s="11">
        <v>220.319090162071</v>
      </c>
      <c r="I4" s="11">
        <v>404.550179995567</v>
      </c>
      <c r="J4" s="11">
        <v>65.7641994181759</v>
      </c>
      <c r="K4" s="11">
        <f t="shared" si="0"/>
        <v>15.2058416105894</v>
      </c>
      <c r="L4" s="56"/>
      <c r="M4" s="56"/>
    </row>
    <row r="5" spans="1:13">
      <c r="A5" s="9" t="s">
        <v>16</v>
      </c>
      <c r="B5" s="9">
        <v>1024</v>
      </c>
      <c r="C5" s="9">
        <v>1024</v>
      </c>
      <c r="D5" s="9">
        <v>16</v>
      </c>
      <c r="E5" s="9">
        <v>64</v>
      </c>
      <c r="F5" s="11">
        <v>0.339513656887209</v>
      </c>
      <c r="G5" s="11">
        <v>169.178594246718</v>
      </c>
      <c r="H5" s="11">
        <v>348.176560038722</v>
      </c>
      <c r="I5" s="11">
        <v>544.211676504346</v>
      </c>
      <c r="J5" s="11">
        <v>79.6586013035325</v>
      </c>
      <c r="K5" s="11">
        <f t="shared" si="0"/>
        <v>12.5535721646628</v>
      </c>
      <c r="L5" s="56"/>
      <c r="M5" s="56"/>
    </row>
    <row r="6" spans="1:13">
      <c r="A6" s="9" t="s">
        <v>17</v>
      </c>
      <c r="B6" s="9">
        <v>1024</v>
      </c>
      <c r="C6" s="9">
        <v>1024</v>
      </c>
      <c r="D6" s="9">
        <v>32</v>
      </c>
      <c r="E6" s="9">
        <v>128</v>
      </c>
      <c r="F6" s="11">
        <v>0.536580339468634</v>
      </c>
      <c r="G6" s="11">
        <v>276.758078216556</v>
      </c>
      <c r="H6" s="11">
        <v>551.893839313</v>
      </c>
      <c r="I6" s="11">
        <v>755.501278938027</v>
      </c>
      <c r="J6" s="11">
        <v>98.1104868755908</v>
      </c>
      <c r="K6" s="11">
        <f t="shared" si="0"/>
        <v>10.1925903320412</v>
      </c>
      <c r="L6" s="56"/>
      <c r="M6" s="56"/>
    </row>
    <row r="7" spans="1:13">
      <c r="A7" s="9" t="s">
        <v>18</v>
      </c>
      <c r="B7" s="9">
        <v>1024</v>
      </c>
      <c r="C7" s="9">
        <v>1024</v>
      </c>
      <c r="D7" s="9">
        <v>64</v>
      </c>
      <c r="E7" s="9">
        <v>256</v>
      </c>
      <c r="F7" s="11">
        <v>0.792058329998374</v>
      </c>
      <c r="G7" s="11">
        <v>393.764373211847</v>
      </c>
      <c r="H7" s="11">
        <v>801.095839302769</v>
      </c>
      <c r="I7" s="11">
        <v>1191.49605682605</v>
      </c>
      <c r="J7" s="11">
        <v>142.284411357766</v>
      </c>
      <c r="K7" s="11">
        <f t="shared" si="0"/>
        <v>7.02817680768666</v>
      </c>
      <c r="L7" s="56"/>
      <c r="M7" s="56"/>
    </row>
    <row r="8" spans="1:13">
      <c r="A8" s="9" t="s">
        <v>19</v>
      </c>
      <c r="B8" s="9">
        <v>1024</v>
      </c>
      <c r="C8" s="9">
        <v>1024</v>
      </c>
      <c r="D8" s="9">
        <v>128</v>
      </c>
      <c r="E8" s="9">
        <v>512</v>
      </c>
      <c r="F8" s="11">
        <v>1.06452387975592</v>
      </c>
      <c r="G8" s="11">
        <v>546.697465848951</v>
      </c>
      <c r="H8" s="11">
        <v>1085.03259762685</v>
      </c>
      <c r="I8" s="11">
        <v>2117.48560223213</v>
      </c>
      <c r="J8" s="11">
        <v>209.527445923974</v>
      </c>
      <c r="K8" s="11">
        <f t="shared" si="0"/>
        <v>4.77264444087599</v>
      </c>
      <c r="L8" s="56"/>
      <c r="M8" s="56"/>
    </row>
    <row r="9" spans="1:13">
      <c r="A9" s="9" t="s">
        <v>20</v>
      </c>
      <c r="B9" s="9">
        <v>1024</v>
      </c>
      <c r="C9" s="9">
        <v>1024</v>
      </c>
      <c r="D9" s="9">
        <v>256</v>
      </c>
      <c r="E9" s="9">
        <v>1024</v>
      </c>
      <c r="F9" s="11">
        <v>1.1502759662686</v>
      </c>
      <c r="G9" s="11">
        <v>592.131513229722</v>
      </c>
      <c r="H9" s="11">
        <v>1178.34988907034</v>
      </c>
      <c r="I9" s="11">
        <v>53684.071646432</v>
      </c>
      <c r="J9" s="11">
        <v>346.493391126827</v>
      </c>
      <c r="K9" s="11">
        <f t="shared" si="0"/>
        <v>2.88605793244111</v>
      </c>
      <c r="L9" s="56"/>
      <c r="M9" s="56"/>
    </row>
    <row r="10" spans="1:13">
      <c r="A10" s="9" t="s">
        <v>21</v>
      </c>
      <c r="B10" s="9">
        <v>1024</v>
      </c>
      <c r="C10" s="9">
        <v>1024</v>
      </c>
      <c r="D10" s="9">
        <v>512</v>
      </c>
      <c r="E10" s="9">
        <v>2048</v>
      </c>
      <c r="F10" s="11">
        <v>1.18793893286656</v>
      </c>
      <c r="G10" s="11">
        <v>599.035608347177</v>
      </c>
      <c r="H10" s="11">
        <v>1207.50164207059</v>
      </c>
      <c r="I10" s="11">
        <v>209322.410153477</v>
      </c>
      <c r="J10" s="11">
        <v>484.369112238263</v>
      </c>
      <c r="K10" s="11">
        <f t="shared" si="0"/>
        <v>2.06454122431345</v>
      </c>
      <c r="L10" s="56"/>
      <c r="M10" s="56"/>
    </row>
    <row r="11" spans="1:13">
      <c r="A11" s="9" t="s">
        <v>22</v>
      </c>
      <c r="B11" s="9">
        <v>1024</v>
      </c>
      <c r="C11" s="9">
        <v>16384</v>
      </c>
      <c r="D11" s="9">
        <v>2</v>
      </c>
      <c r="E11" s="9">
        <v>8</v>
      </c>
      <c r="F11" s="11">
        <v>0.00387094311708378</v>
      </c>
      <c r="G11" s="11">
        <v>30.1178729224704</v>
      </c>
      <c r="H11" s="11">
        <v>32.1946339047858</v>
      </c>
      <c r="I11" s="11">
        <v>313.406424873392</v>
      </c>
      <c r="J11" s="11">
        <v>56.9091782893475</v>
      </c>
      <c r="K11" s="11">
        <f t="shared" si="0"/>
        <v>17.5718580035654</v>
      </c>
      <c r="L11" s="56"/>
      <c r="M11" s="56"/>
    </row>
    <row r="12" spans="1:13">
      <c r="A12" s="9" t="s">
        <v>23</v>
      </c>
      <c r="B12" s="9">
        <v>8192</v>
      </c>
      <c r="C12" s="9">
        <v>1024</v>
      </c>
      <c r="D12" s="9">
        <v>2</v>
      </c>
      <c r="E12" s="9">
        <v>32</v>
      </c>
      <c r="F12" s="11">
        <v>0.0629269920581044</v>
      </c>
      <c r="G12" s="11">
        <v>32.7102370592034</v>
      </c>
      <c r="H12" s="11">
        <v>303.964902199669</v>
      </c>
      <c r="I12" s="11">
        <v>1100.42795637127</v>
      </c>
      <c r="J12" s="11">
        <v>57.4709730686232</v>
      </c>
      <c r="K12" s="11">
        <f t="shared" si="0"/>
        <v>17.4000881941907</v>
      </c>
      <c r="L12" s="56"/>
      <c r="M12" s="56"/>
    </row>
    <row r="13" spans="1:13">
      <c r="A13" s="9" t="s">
        <v>24</v>
      </c>
      <c r="B13" s="9">
        <v>8192</v>
      </c>
      <c r="C13" s="9">
        <v>1024</v>
      </c>
      <c r="D13" s="9">
        <v>4</v>
      </c>
      <c r="E13" s="9">
        <v>32</v>
      </c>
      <c r="F13" s="11">
        <v>0.112336680772773</v>
      </c>
      <c r="G13" s="11">
        <v>58.3940108741975</v>
      </c>
      <c r="H13" s="11">
        <v>542.635315430336</v>
      </c>
      <c r="I13" s="11">
        <v>1283.87506437866</v>
      </c>
      <c r="J13" s="11">
        <v>63.7988935936639</v>
      </c>
      <c r="K13" s="11">
        <f t="shared" si="0"/>
        <v>15.6742530108596</v>
      </c>
      <c r="L13" s="56"/>
      <c r="M13" s="56"/>
    </row>
    <row r="14" spans="1:13">
      <c r="A14" s="9" t="s">
        <v>25</v>
      </c>
      <c r="B14" s="9">
        <v>8192</v>
      </c>
      <c r="C14" s="9">
        <v>1024</v>
      </c>
      <c r="D14" s="9">
        <v>8</v>
      </c>
      <c r="E14" s="9">
        <v>32</v>
      </c>
      <c r="F14" s="11">
        <v>0.177712672648411</v>
      </c>
      <c r="G14" s="11">
        <v>92.3772686510522</v>
      </c>
      <c r="H14" s="11">
        <v>858.429958186109</v>
      </c>
      <c r="I14" s="11">
        <v>1878.83563121067</v>
      </c>
      <c r="J14" s="11">
        <v>74.9018813092155</v>
      </c>
      <c r="K14" s="11">
        <f t="shared" si="0"/>
        <v>13.3507995062464</v>
      </c>
      <c r="L14" s="56"/>
      <c r="M14" s="56"/>
    </row>
    <row r="15" spans="1:13">
      <c r="A15" s="9" t="s">
        <v>26</v>
      </c>
      <c r="B15" s="9">
        <v>8192</v>
      </c>
      <c r="C15" s="9">
        <v>1024</v>
      </c>
      <c r="D15" s="9">
        <v>16</v>
      </c>
      <c r="E15" s="9">
        <v>64</v>
      </c>
      <c r="F15" s="11">
        <v>0.271595274799006</v>
      </c>
      <c r="G15" s="11">
        <v>135.335076697111</v>
      </c>
      <c r="H15" s="11">
        <v>1251.92266286219</v>
      </c>
      <c r="I15" s="11">
        <v>2844.66801106827</v>
      </c>
      <c r="J15" s="11">
        <v>104.742684635847</v>
      </c>
      <c r="K15" s="11">
        <f t="shared" si="0"/>
        <v>9.54720612209477</v>
      </c>
      <c r="L15" s="56"/>
      <c r="M15" s="56"/>
    </row>
    <row r="16" spans="1:13">
      <c r="A16" s="9" t="s">
        <v>27</v>
      </c>
      <c r="B16" s="9">
        <v>8192</v>
      </c>
      <c r="C16" s="9">
        <v>1024</v>
      </c>
      <c r="D16" s="9">
        <v>32</v>
      </c>
      <c r="E16" s="9">
        <v>128</v>
      </c>
      <c r="F16" s="11">
        <v>0.391722528280225</v>
      </c>
      <c r="G16" s="11">
        <v>202.043135289535</v>
      </c>
      <c r="H16" s="11">
        <v>1741.02607860272</v>
      </c>
      <c r="I16" s="11">
        <v>4955.94248287125</v>
      </c>
      <c r="J16" s="11">
        <v>138.001845956923</v>
      </c>
      <c r="K16" s="11">
        <f t="shared" si="0"/>
        <v>7.24627988173541</v>
      </c>
      <c r="L16" s="56"/>
      <c r="M16" s="56"/>
    </row>
    <row r="17" spans="1:13">
      <c r="A17" s="9" t="s">
        <v>28</v>
      </c>
      <c r="B17" s="9">
        <v>8192</v>
      </c>
      <c r="C17" s="9">
        <v>1024</v>
      </c>
      <c r="D17" s="9">
        <v>64</v>
      </c>
      <c r="E17" s="9">
        <v>256</v>
      </c>
      <c r="F17" s="11">
        <v>0.511610038114361</v>
      </c>
      <c r="G17" s="11">
        <v>254.342134104447</v>
      </c>
      <c r="H17" s="11">
        <v>2334.68644397052</v>
      </c>
      <c r="I17" s="11">
        <v>9244.33636792537</v>
      </c>
      <c r="J17" s="11">
        <v>229.823838041634</v>
      </c>
      <c r="K17" s="11">
        <f t="shared" si="0"/>
        <v>4.35115873323308</v>
      </c>
      <c r="L17" s="56"/>
      <c r="M17" s="56"/>
    </row>
    <row r="18" spans="1:13">
      <c r="A18" s="9" t="s">
        <v>29</v>
      </c>
      <c r="B18" s="9">
        <v>8192</v>
      </c>
      <c r="C18" s="9">
        <v>1024</v>
      </c>
      <c r="D18" s="9">
        <v>128</v>
      </c>
      <c r="E18" s="9">
        <v>512</v>
      </c>
      <c r="F18" s="11">
        <v>0.597622330075479</v>
      </c>
      <c r="G18" s="11">
        <v>306.915250658274</v>
      </c>
      <c r="H18" s="11">
        <v>2783.28593459293</v>
      </c>
      <c r="I18" s="11">
        <v>18248.8958498049</v>
      </c>
      <c r="J18" s="11">
        <v>374.339425473912</v>
      </c>
      <c r="K18" s="11">
        <f t="shared" si="0"/>
        <v>2.67137237477459</v>
      </c>
      <c r="L18" s="56"/>
      <c r="M18" s="56"/>
    </row>
    <row r="19" spans="1:13">
      <c r="A19" s="9" t="s">
        <v>30</v>
      </c>
      <c r="B19" s="9">
        <v>8192</v>
      </c>
      <c r="C19" s="9">
        <v>1024</v>
      </c>
      <c r="D19" s="9">
        <v>256</v>
      </c>
      <c r="E19" s="9">
        <v>1024</v>
      </c>
      <c r="F19" s="11">
        <v>0.584786589522349</v>
      </c>
      <c r="G19" s="11">
        <v>301.032602892321</v>
      </c>
      <c r="H19" s="11">
        <v>2686.16237522814</v>
      </c>
      <c r="I19" s="11">
        <v>156138.190694314</v>
      </c>
      <c r="J19" s="11">
        <v>567.368469584462</v>
      </c>
      <c r="K19" s="11">
        <f t="shared" si="0"/>
        <v>1.76252304033108</v>
      </c>
      <c r="L19" s="56"/>
      <c r="M19" s="56"/>
    </row>
    <row r="20" spans="1:13">
      <c r="A20" s="9" t="s">
        <v>31</v>
      </c>
      <c r="B20" s="9">
        <v>32768</v>
      </c>
      <c r="C20" s="9">
        <v>1024</v>
      </c>
      <c r="D20" s="9">
        <v>2</v>
      </c>
      <c r="E20" s="9">
        <v>32</v>
      </c>
      <c r="F20" s="11">
        <v>0.0522299309289397</v>
      </c>
      <c r="G20" s="11">
        <v>27.1497709709995</v>
      </c>
      <c r="H20" s="11">
        <v>907.46567055418</v>
      </c>
      <c r="I20" s="11">
        <v>4192.03603300411</v>
      </c>
      <c r="J20" s="11">
        <v>63.0964816142621</v>
      </c>
      <c r="K20" s="11">
        <f t="shared" si="0"/>
        <v>15.8487442471588</v>
      </c>
      <c r="L20" s="56"/>
      <c r="M20" s="56"/>
    </row>
    <row r="21" spans="1:13">
      <c r="A21" s="9" t="s">
        <v>32</v>
      </c>
      <c r="B21" s="9">
        <v>32768</v>
      </c>
      <c r="C21" s="9">
        <v>1024</v>
      </c>
      <c r="D21" s="9">
        <v>4</v>
      </c>
      <c r="E21" s="9">
        <v>32</v>
      </c>
      <c r="F21" s="11">
        <v>0.0833618025533638</v>
      </c>
      <c r="G21" s="11">
        <v>43.3325069897704</v>
      </c>
      <c r="H21" s="11">
        <v>1448.36442835076</v>
      </c>
      <c r="I21" s="11">
        <v>4530.78281052876</v>
      </c>
      <c r="J21" s="11">
        <v>80.1427193046351</v>
      </c>
      <c r="K21" s="11">
        <f t="shared" si="0"/>
        <v>12.4777398206173</v>
      </c>
      <c r="L21" s="56"/>
      <c r="M21" s="56"/>
    </row>
    <row r="22" spans="1:13">
      <c r="A22" s="9" t="s">
        <v>33</v>
      </c>
      <c r="B22" s="9">
        <v>32768</v>
      </c>
      <c r="C22" s="9">
        <v>1024</v>
      </c>
      <c r="D22" s="9">
        <v>8</v>
      </c>
      <c r="E22" s="9">
        <v>32</v>
      </c>
      <c r="F22" s="11">
        <v>0.116071130811939</v>
      </c>
      <c r="G22" s="11">
        <v>60.3352246851814</v>
      </c>
      <c r="H22" s="11">
        <v>2016.67060784637</v>
      </c>
      <c r="I22" s="11">
        <v>5933.1939172589</v>
      </c>
      <c r="J22" s="11">
        <v>116.092885887565</v>
      </c>
      <c r="K22" s="11">
        <f t="shared" si="0"/>
        <v>8.61379224363922</v>
      </c>
      <c r="L22" s="56"/>
      <c r="M22" s="56"/>
    </row>
    <row r="23" spans="1:13">
      <c r="A23" s="9" t="s">
        <v>34</v>
      </c>
      <c r="B23" s="9">
        <v>32768</v>
      </c>
      <c r="C23" s="9">
        <v>1024</v>
      </c>
      <c r="D23" s="9">
        <v>16</v>
      </c>
      <c r="E23" s="9">
        <v>64</v>
      </c>
      <c r="F23" s="11">
        <v>0.148591379655044</v>
      </c>
      <c r="G23" s="11">
        <v>74.0426201340471</v>
      </c>
      <c r="H23" s="11">
        <v>2548.8645526531</v>
      </c>
      <c r="I23" s="11">
        <v>9559.77744828123</v>
      </c>
      <c r="J23" s="11">
        <v>201.748086500755</v>
      </c>
      <c r="K23" s="11">
        <f t="shared" si="0"/>
        <v>4.95667650357743</v>
      </c>
      <c r="L23" s="56"/>
      <c r="M23" s="56"/>
    </row>
    <row r="24" spans="1:13">
      <c r="A24" s="9" t="s">
        <v>35</v>
      </c>
      <c r="B24" s="9">
        <v>32768</v>
      </c>
      <c r="C24" s="9">
        <v>1024</v>
      </c>
      <c r="D24" s="9">
        <v>32</v>
      </c>
      <c r="E24" s="9">
        <v>128</v>
      </c>
      <c r="F24" s="11">
        <v>0.189365425413696</v>
      </c>
      <c r="G24" s="11">
        <v>97.6711358266582</v>
      </c>
      <c r="H24" s="11">
        <v>2986.77356942446</v>
      </c>
      <c r="I24" s="11">
        <v>16923.9649573519</v>
      </c>
      <c r="J24" s="11">
        <v>306.593659944423</v>
      </c>
      <c r="K24" s="11">
        <f t="shared" si="0"/>
        <v>3.26164605028451</v>
      </c>
      <c r="L24" s="56"/>
      <c r="M24" s="56"/>
    </row>
    <row r="25" spans="1:13">
      <c r="A25" s="9" t="s">
        <v>36</v>
      </c>
      <c r="B25" s="9">
        <v>32768</v>
      </c>
      <c r="C25" s="9">
        <v>1024</v>
      </c>
      <c r="D25" s="9">
        <v>64</v>
      </c>
      <c r="E25" s="9">
        <v>256</v>
      </c>
      <c r="F25" s="11">
        <v>0.21354751600157</v>
      </c>
      <c r="G25" s="11">
        <v>106.163145572218</v>
      </c>
      <c r="H25" s="11">
        <v>3366.23708258111</v>
      </c>
      <c r="I25" s="11">
        <v>28562.3542120097</v>
      </c>
      <c r="J25" s="11">
        <v>653.345734836653</v>
      </c>
      <c r="K25" s="11">
        <f t="shared" si="0"/>
        <v>1.53058319153184</v>
      </c>
      <c r="L25" s="56"/>
      <c r="M25" s="56"/>
    </row>
  </sheetData>
  <sheetProtection formatCells="0" formatColumns="0" formatRows="0" insertRows="0" insertColumns="0" insertHyperlinks="0" deleteColumns="0" deleteRows="0" sort="0" autoFilter="0" pivotTables="0"/>
  <sortState ref="A2:J28">
    <sortCondition ref="B2:B28"/>
    <sortCondition ref="C2:C28"/>
    <sortCondition ref="D2:D28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"/>
  <sheetViews>
    <sheetView topLeftCell="B1" workbookViewId="0">
      <selection activeCell="B1" sqref="B1"/>
    </sheetView>
  </sheetViews>
  <sheetFormatPr defaultColWidth="9.23333333333333" defaultRowHeight="13.5"/>
  <cols>
    <col min="1" max="1" width="22.6916666666667" customWidth="1"/>
    <col min="10" max="10" width="14.1" customWidth="1"/>
    <col min="12" max="12" width="12.925"/>
  </cols>
  <sheetData>
    <row r="1" ht="40.5" spans="1:13">
      <c r="A1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37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t="s">
        <v>10</v>
      </c>
    </row>
    <row r="2" spans="1:13">
      <c r="A2" t="str">
        <f>_xlfn.CONCAT("I_",B2,"_O_",C2)</f>
        <v>I_1024_O_1024</v>
      </c>
      <c r="B2" s="9">
        <v>1024</v>
      </c>
      <c r="C2" s="9">
        <v>1024</v>
      </c>
      <c r="D2" s="9">
        <v>1</v>
      </c>
      <c r="E2" s="9">
        <v>50</v>
      </c>
      <c r="F2" s="9" t="str">
        <f t="shared" ref="F2:F30" si="0">_xlfn.CONCAT(B2,"_",C2,"_",D2)</f>
        <v>1024_1024_1</v>
      </c>
      <c r="G2" s="61">
        <v>0.0359331874357581</v>
      </c>
      <c r="H2" s="61">
        <v>36.7955839342163</v>
      </c>
      <c r="I2" s="61">
        <v>73.5911678684326</v>
      </c>
      <c r="J2" s="61">
        <v>609.191494509577</v>
      </c>
      <c r="K2" s="61">
        <v>26.6078653163071</v>
      </c>
      <c r="L2" s="12">
        <f>1000/K2</f>
        <v>37.5828721362</v>
      </c>
      <c r="M2" s="11"/>
    </row>
    <row r="3" spans="1:13">
      <c r="A3" t="str">
        <f t="shared" ref="A3:A30" si="1">_xlfn.CONCAT("I_",B3,"_O_",C3)</f>
        <v>I_1024_O_1024</v>
      </c>
      <c r="B3" s="9">
        <v>1024</v>
      </c>
      <c r="C3" s="9">
        <v>1024</v>
      </c>
      <c r="D3" s="9">
        <v>4</v>
      </c>
      <c r="E3" s="9">
        <v>100</v>
      </c>
      <c r="F3" s="9" t="str">
        <f t="shared" si="0"/>
        <v>1024_1024_4</v>
      </c>
      <c r="G3" s="61">
        <v>0.116785892413941</v>
      </c>
      <c r="H3" s="61">
        <v>119.588753831875</v>
      </c>
      <c r="I3" s="61">
        <v>239.177507663751</v>
      </c>
      <c r="J3" s="61">
        <v>838.399762967601</v>
      </c>
      <c r="K3" s="61">
        <v>31.8618889771427</v>
      </c>
      <c r="L3" s="12">
        <f t="shared" ref="L3:L30" si="2">1000/K3</f>
        <v>31.3854586812912</v>
      </c>
      <c r="M3" s="11"/>
    </row>
    <row r="4" spans="1:13">
      <c r="A4" t="str">
        <f t="shared" si="1"/>
        <v>I_1024_O_1024</v>
      </c>
      <c r="B4" s="9">
        <v>1024</v>
      </c>
      <c r="C4" s="9">
        <v>1024</v>
      </c>
      <c r="D4" s="9">
        <v>8</v>
      </c>
      <c r="E4" s="9">
        <v>200</v>
      </c>
      <c r="F4" s="9" t="str">
        <f t="shared" si="0"/>
        <v>1024_1024_8</v>
      </c>
      <c r="G4" s="61">
        <v>0.20282269381679</v>
      </c>
      <c r="H4" s="61">
        <v>207.690438468392</v>
      </c>
      <c r="I4" s="61">
        <v>415.380876936785</v>
      </c>
      <c r="J4" s="61">
        <v>916.823688205331</v>
      </c>
      <c r="K4" s="61">
        <v>36.857507686046</v>
      </c>
      <c r="L4" s="12">
        <f t="shared" si="2"/>
        <v>27.1315143855642</v>
      </c>
      <c r="M4" s="11"/>
    </row>
    <row r="5" spans="1:13">
      <c r="A5" t="str">
        <f t="shared" si="1"/>
        <v>I_1024_O_1024</v>
      </c>
      <c r="B5" s="9">
        <v>1024</v>
      </c>
      <c r="C5" s="9">
        <v>1024</v>
      </c>
      <c r="D5" s="9">
        <v>16</v>
      </c>
      <c r="E5" s="9">
        <v>300</v>
      </c>
      <c r="F5" s="9" t="str">
        <f t="shared" si="0"/>
        <v>1024_1024_16</v>
      </c>
      <c r="G5" s="61">
        <v>0.33233717410277</v>
      </c>
      <c r="H5" s="61">
        <v>340.313266281237</v>
      </c>
      <c r="I5" s="61">
        <v>680.626532562474</v>
      </c>
      <c r="J5" s="61">
        <v>1216.70263706706</v>
      </c>
      <c r="K5" s="61">
        <v>45.1893825759839</v>
      </c>
      <c r="L5" s="12">
        <f t="shared" si="2"/>
        <v>22.1290919015887</v>
      </c>
      <c r="M5" s="11"/>
    </row>
    <row r="6" spans="1:13">
      <c r="A6" t="str">
        <f t="shared" si="1"/>
        <v>I_1024_O_1024</v>
      </c>
      <c r="B6" s="9">
        <v>1024</v>
      </c>
      <c r="C6" s="9">
        <v>1024</v>
      </c>
      <c r="D6" s="9">
        <v>32</v>
      </c>
      <c r="E6" s="9">
        <v>500</v>
      </c>
      <c r="F6" s="9" t="str">
        <f t="shared" si="0"/>
        <v>1024_1024_32</v>
      </c>
      <c r="G6" s="61">
        <v>0.324312776177342</v>
      </c>
      <c r="H6" s="61">
        <v>332.096282805598</v>
      </c>
      <c r="I6" s="61">
        <v>664.192565611197</v>
      </c>
      <c r="J6" s="61">
        <v>48493.8173742853</v>
      </c>
      <c r="K6" s="61">
        <v>46.8344501110188</v>
      </c>
      <c r="L6" s="12">
        <f t="shared" si="2"/>
        <v>21.3518040166917</v>
      </c>
      <c r="M6" s="11"/>
    </row>
    <row r="7" spans="1:13">
      <c r="A7" t="str">
        <f t="shared" si="1"/>
        <v>I_1024_O_16384</v>
      </c>
      <c r="B7" s="9">
        <v>1024</v>
      </c>
      <c r="C7" s="9">
        <v>16384</v>
      </c>
      <c r="D7" s="9">
        <v>1</v>
      </c>
      <c r="E7" s="9">
        <v>20</v>
      </c>
      <c r="F7" s="9" t="str">
        <f t="shared" si="0"/>
        <v>1024_16384_1</v>
      </c>
      <c r="G7" s="61">
        <v>0.00235188707718297</v>
      </c>
      <c r="H7" s="61">
        <v>38.5333178725659</v>
      </c>
      <c r="I7" s="61">
        <v>40.9416502396012</v>
      </c>
      <c r="J7" s="61">
        <v>600.32418584451</v>
      </c>
      <c r="K7" s="61">
        <v>25.9164781004964</v>
      </c>
      <c r="L7" s="12">
        <f t="shared" si="2"/>
        <v>38.5854897460333</v>
      </c>
    </row>
    <row r="8" spans="1:13">
      <c r="A8" t="str">
        <f t="shared" si="1"/>
        <v>I_1024_O_16384</v>
      </c>
      <c r="B8" s="9">
        <v>1024</v>
      </c>
      <c r="C8" s="9">
        <v>16384</v>
      </c>
      <c r="D8" s="9">
        <v>4</v>
      </c>
      <c r="E8" s="9">
        <v>50</v>
      </c>
      <c r="F8" s="9" t="str">
        <f t="shared" si="0"/>
        <v>1024_16384_4</v>
      </c>
      <c r="G8" s="61">
        <v>0.00846616030303063</v>
      </c>
      <c r="H8" s="61">
        <v>138.709570404854</v>
      </c>
      <c r="I8" s="61">
        <v>147.378918555157</v>
      </c>
      <c r="J8" s="61">
        <v>876.670107580721</v>
      </c>
      <c r="K8" s="61">
        <v>27.7327158489981</v>
      </c>
      <c r="L8" s="12">
        <f t="shared" si="2"/>
        <v>36.0584951522563</v>
      </c>
    </row>
    <row r="9" spans="1:13">
      <c r="A9" t="str">
        <f t="shared" si="1"/>
        <v>I_1024_O_16384</v>
      </c>
      <c r="B9" s="9">
        <v>1024</v>
      </c>
      <c r="C9" s="9">
        <v>16384</v>
      </c>
      <c r="D9" s="9">
        <v>8</v>
      </c>
      <c r="E9" s="9">
        <v>100</v>
      </c>
      <c r="F9" s="9" t="str">
        <f t="shared" si="0"/>
        <v>1024_16384_8</v>
      </c>
      <c r="G9" s="61">
        <v>0.0154705702379764</v>
      </c>
      <c r="H9" s="61">
        <v>253.469822779006</v>
      </c>
      <c r="I9" s="61">
        <v>269.311686702694</v>
      </c>
      <c r="J9" s="61">
        <v>915.209970641881</v>
      </c>
      <c r="K9" s="61">
        <v>30.5392377003904</v>
      </c>
      <c r="L9" s="12">
        <f t="shared" si="2"/>
        <v>32.7447597026044</v>
      </c>
    </row>
    <row r="10" spans="1:13">
      <c r="A10" t="str">
        <f t="shared" si="1"/>
        <v>I_1024_O_131072</v>
      </c>
      <c r="B10" s="9">
        <v>1024</v>
      </c>
      <c r="C10" s="9">
        <v>131072</v>
      </c>
      <c r="D10" s="9">
        <v>1</v>
      </c>
      <c r="E10" s="9">
        <v>5</v>
      </c>
      <c r="F10" s="9" t="str">
        <f t="shared" si="0"/>
        <v>1024_131072_1</v>
      </c>
      <c r="G10" s="61">
        <v>0.000302322234774807</v>
      </c>
      <c r="H10" s="61">
        <v>39.6259799564035</v>
      </c>
      <c r="I10" s="61">
        <v>39.9355579248129</v>
      </c>
      <c r="J10" s="61">
        <v>612.14607656002</v>
      </c>
      <c r="K10" s="61">
        <v>25.2314857211011</v>
      </c>
      <c r="L10" s="12">
        <f t="shared" si="2"/>
        <v>39.6330208634405</v>
      </c>
    </row>
    <row r="11" spans="1:13">
      <c r="A11" t="str">
        <f t="shared" si="1"/>
        <v>I_1024_O_131072</v>
      </c>
      <c r="B11" s="9">
        <v>1024</v>
      </c>
      <c r="C11" s="9">
        <v>131072</v>
      </c>
      <c r="D11" s="9">
        <v>2</v>
      </c>
      <c r="E11" s="9">
        <v>5</v>
      </c>
      <c r="F11" s="9" t="str">
        <f t="shared" si="0"/>
        <v>1024_131072_2</v>
      </c>
      <c r="G11" s="61">
        <v>0.000493369438818765</v>
      </c>
      <c r="H11" s="61">
        <v>64.6669190848532</v>
      </c>
      <c r="I11" s="61">
        <v>65.1721293902037</v>
      </c>
      <c r="J11" s="61">
        <v>736.882082931697</v>
      </c>
      <c r="K11" s="61">
        <v>25.9037207222656</v>
      </c>
      <c r="L11" s="12">
        <f t="shared" si="2"/>
        <v>38.6044927955252</v>
      </c>
    </row>
    <row r="12" spans="1:13">
      <c r="A12" t="str">
        <f t="shared" si="1"/>
        <v>I_8192_O_1024</v>
      </c>
      <c r="B12" s="9">
        <v>8192</v>
      </c>
      <c r="C12" s="9">
        <v>1024</v>
      </c>
      <c r="D12" s="9">
        <v>1</v>
      </c>
      <c r="E12" s="9">
        <v>30</v>
      </c>
      <c r="F12" s="9" t="str">
        <f t="shared" si="0"/>
        <v>8192_1024_1</v>
      </c>
      <c r="G12" s="61">
        <v>0.0311286212493808</v>
      </c>
      <c r="H12" s="61">
        <v>31.8757081593659</v>
      </c>
      <c r="I12" s="61">
        <v>286.881373434293</v>
      </c>
      <c r="J12" s="61">
        <v>1770.90397455419</v>
      </c>
      <c r="K12" s="61">
        <v>29.6706759505903</v>
      </c>
      <c r="L12" s="12">
        <f t="shared" si="2"/>
        <v>33.7033103548187</v>
      </c>
    </row>
    <row r="13" spans="1:13">
      <c r="A13" t="str">
        <f t="shared" si="1"/>
        <v>I_8192_O_1024</v>
      </c>
      <c r="B13" s="9">
        <v>8192</v>
      </c>
      <c r="C13" s="9">
        <v>1024</v>
      </c>
      <c r="D13" s="9">
        <v>4</v>
      </c>
      <c r="E13" s="9">
        <v>100</v>
      </c>
      <c r="F13" s="9" t="str">
        <f t="shared" si="0"/>
        <v>8192_1024_4</v>
      </c>
      <c r="G13" s="61">
        <v>0.10047201632335</v>
      </c>
      <c r="H13" s="61">
        <v>102.88334471511</v>
      </c>
      <c r="I13" s="61">
        <v>925.950102435995</v>
      </c>
      <c r="J13" s="61">
        <v>2069.12647840566</v>
      </c>
      <c r="K13" s="61">
        <v>35.9219944111926</v>
      </c>
      <c r="L13" s="12">
        <f t="shared" si="2"/>
        <v>27.8380979784469</v>
      </c>
    </row>
    <row r="14" spans="1:13">
      <c r="A14" t="str">
        <f t="shared" si="1"/>
        <v>I_8192_O_1024</v>
      </c>
      <c r="B14" s="9">
        <v>8192</v>
      </c>
      <c r="C14" s="9">
        <v>1024</v>
      </c>
      <c r="D14" s="9">
        <v>8</v>
      </c>
      <c r="E14" s="9">
        <v>200</v>
      </c>
      <c r="F14" s="9" t="str">
        <f t="shared" si="0"/>
        <v>8192_1024_8</v>
      </c>
      <c r="G14" s="61">
        <v>0.163266602622517</v>
      </c>
      <c r="H14" s="61">
        <v>167.185001085457</v>
      </c>
      <c r="I14" s="61">
        <v>1504.66500976912</v>
      </c>
      <c r="J14" s="61">
        <v>2412.15867040213</v>
      </c>
      <c r="K14" s="61">
        <v>45.0928808643345</v>
      </c>
      <c r="L14" s="12">
        <f t="shared" si="2"/>
        <v>22.1764496042863</v>
      </c>
    </row>
    <row r="15" spans="1:13">
      <c r="A15" t="str">
        <f t="shared" si="1"/>
        <v>I_8192_O_1024</v>
      </c>
      <c r="B15" s="9">
        <v>8192</v>
      </c>
      <c r="C15" s="9">
        <v>1024</v>
      </c>
      <c r="D15" s="9">
        <v>16</v>
      </c>
      <c r="E15" s="9">
        <v>300</v>
      </c>
      <c r="F15" s="9" t="str">
        <f t="shared" si="0"/>
        <v>8192_1024_16</v>
      </c>
      <c r="G15" s="61">
        <v>0.237821077713587</v>
      </c>
      <c r="H15" s="61">
        <v>243.528783578713</v>
      </c>
      <c r="I15" s="61">
        <v>2191.75905220842</v>
      </c>
      <c r="J15" s="61">
        <v>2694.36079980184</v>
      </c>
      <c r="K15" s="61">
        <v>62.2057506724471</v>
      </c>
      <c r="L15" s="12">
        <f t="shared" si="2"/>
        <v>16.0756841480081</v>
      </c>
    </row>
    <row r="16" spans="1:13">
      <c r="A16" t="str">
        <f t="shared" si="1"/>
        <v>I_8192_O_1024</v>
      </c>
      <c r="B16" s="9">
        <v>8192</v>
      </c>
      <c r="C16" s="9">
        <v>1024</v>
      </c>
      <c r="D16" s="9">
        <v>32</v>
      </c>
      <c r="E16" s="9">
        <v>500</v>
      </c>
      <c r="F16" s="9" t="str">
        <f t="shared" si="0"/>
        <v>8192_1024_32</v>
      </c>
      <c r="G16" s="61">
        <v>0.235343446636505</v>
      </c>
      <c r="H16" s="61">
        <v>240.991689355781</v>
      </c>
      <c r="I16" s="61">
        <v>2168.92520420203</v>
      </c>
      <c r="J16" s="61">
        <v>67989.4344948288</v>
      </c>
      <c r="K16" s="61">
        <v>63.7080187661498</v>
      </c>
      <c r="L16" s="12">
        <f t="shared" si="2"/>
        <v>15.6966111859585</v>
      </c>
    </row>
    <row r="17" spans="1:12">
      <c r="A17" t="str">
        <f t="shared" si="1"/>
        <v>I_8192_O_16384</v>
      </c>
      <c r="B17" s="9">
        <v>8192</v>
      </c>
      <c r="C17" s="9">
        <v>16384</v>
      </c>
      <c r="D17" s="9">
        <v>1</v>
      </c>
      <c r="E17" s="9">
        <v>20</v>
      </c>
      <c r="F17" s="9" t="str">
        <f t="shared" si="0"/>
        <v>8192_16384_1</v>
      </c>
      <c r="G17" s="61">
        <v>0.00235936614851027</v>
      </c>
      <c r="H17" s="61">
        <v>38.6558549771923</v>
      </c>
      <c r="I17" s="61">
        <v>57.9837824657885</v>
      </c>
      <c r="J17" s="61">
        <v>1774.71841494552</v>
      </c>
      <c r="K17" s="61">
        <v>25.7625065631366</v>
      </c>
      <c r="L17" s="12">
        <f t="shared" si="2"/>
        <v>38.8160987964926</v>
      </c>
    </row>
    <row r="18" spans="1:12">
      <c r="A18" t="str">
        <f t="shared" si="1"/>
        <v>I_8192_O_16384</v>
      </c>
      <c r="B18" s="9">
        <v>8192</v>
      </c>
      <c r="C18" s="9">
        <v>16384</v>
      </c>
      <c r="D18" s="9">
        <v>4</v>
      </c>
      <c r="E18" s="9">
        <v>50</v>
      </c>
      <c r="F18" s="9" t="str">
        <f t="shared" si="0"/>
        <v>8192_16384_4</v>
      </c>
      <c r="G18" s="61">
        <v>0.00831072315272225</v>
      </c>
      <c r="H18" s="61">
        <v>136.162888134201</v>
      </c>
      <c r="I18" s="61">
        <v>204.244332201302</v>
      </c>
      <c r="J18" s="61">
        <v>2100.3712824732</v>
      </c>
      <c r="K18" s="61">
        <v>28.4780645706084</v>
      </c>
      <c r="L18" s="12">
        <f t="shared" si="2"/>
        <v>35.1147458606467</v>
      </c>
    </row>
    <row r="19" spans="1:12">
      <c r="A19" t="str">
        <f t="shared" si="1"/>
        <v>I_8192_O_16384</v>
      </c>
      <c r="B19" s="9">
        <v>8192</v>
      </c>
      <c r="C19" s="9">
        <v>16384</v>
      </c>
      <c r="D19" s="9">
        <v>8</v>
      </c>
      <c r="E19" s="9">
        <v>50</v>
      </c>
      <c r="F19" s="9" t="str">
        <f t="shared" si="0"/>
        <v>8192_16384_8</v>
      </c>
      <c r="G19" s="61">
        <v>0.0139426696617743</v>
      </c>
      <c r="H19" s="61">
        <v>228.436699738511</v>
      </c>
      <c r="I19" s="61">
        <v>342.655049607767</v>
      </c>
      <c r="J19" s="61">
        <v>2789.84780743718</v>
      </c>
      <c r="K19" s="61">
        <v>32.5099126381163</v>
      </c>
      <c r="L19" s="12">
        <f t="shared" si="2"/>
        <v>30.7598488845998</v>
      </c>
    </row>
    <row r="20" spans="1:12">
      <c r="A20" t="str">
        <f t="shared" si="1"/>
        <v>I_32768_O_1024</v>
      </c>
      <c r="B20" s="9">
        <v>32768</v>
      </c>
      <c r="C20" s="9">
        <v>1024</v>
      </c>
      <c r="D20" s="9">
        <v>1</v>
      </c>
      <c r="E20" s="9">
        <v>20</v>
      </c>
      <c r="F20" s="9" t="str">
        <f t="shared" si="0"/>
        <v>32768_1024_1</v>
      </c>
      <c r="G20" s="61">
        <v>0.0234410528767561</v>
      </c>
      <c r="H20" s="61">
        <v>24.0036381457982</v>
      </c>
      <c r="I20" s="61">
        <v>792.120058811343</v>
      </c>
      <c r="J20" s="61">
        <v>7698.59267505817</v>
      </c>
      <c r="K20" s="61">
        <v>34.174775236349</v>
      </c>
      <c r="L20" s="12">
        <f t="shared" si="2"/>
        <v>29.2613482629837</v>
      </c>
    </row>
    <row r="21" spans="1:12">
      <c r="A21" t="str">
        <f t="shared" si="1"/>
        <v>I_32768_O_1024</v>
      </c>
      <c r="B21" s="9">
        <v>32768</v>
      </c>
      <c r="C21" s="9">
        <v>1024</v>
      </c>
      <c r="D21" s="9">
        <v>4</v>
      </c>
      <c r="E21" s="9">
        <v>50</v>
      </c>
      <c r="F21" s="9" t="str">
        <f t="shared" si="0"/>
        <v>32768_1024_4</v>
      </c>
      <c r="G21" s="61">
        <v>0.0582399986843004</v>
      </c>
      <c r="H21" s="61">
        <v>59.6377586527237</v>
      </c>
      <c r="I21" s="61">
        <v>1968.04603553988</v>
      </c>
      <c r="J21" s="61">
        <v>9822.3808937706</v>
      </c>
      <c r="K21" s="61">
        <v>55.4712347337613</v>
      </c>
      <c r="L21" s="12">
        <f t="shared" si="2"/>
        <v>18.0273614748181</v>
      </c>
    </row>
    <row r="22" spans="1:12">
      <c r="A22" t="str">
        <f t="shared" si="1"/>
        <v>I_32768_O_1024</v>
      </c>
      <c r="B22" s="9">
        <v>32768</v>
      </c>
      <c r="C22" s="9">
        <v>1024</v>
      </c>
      <c r="D22" s="9">
        <v>8</v>
      </c>
      <c r="E22" s="9">
        <v>100</v>
      </c>
      <c r="F22" s="9" t="str">
        <f t="shared" si="0"/>
        <v>32768_1024_8</v>
      </c>
      <c r="G22" s="61">
        <v>0.0783197433270773</v>
      </c>
      <c r="H22" s="61">
        <v>80.1994171669272</v>
      </c>
      <c r="I22" s="61">
        <v>2646.58076650859</v>
      </c>
      <c r="J22" s="61">
        <v>11404.4554854556</v>
      </c>
      <c r="K22" s="61">
        <v>87.5581537956191</v>
      </c>
      <c r="L22" s="12">
        <f t="shared" si="2"/>
        <v>11.4209808755702</v>
      </c>
    </row>
    <row r="23" spans="1:12">
      <c r="A23" t="str">
        <f t="shared" si="1"/>
        <v>I_32768_O_1024</v>
      </c>
      <c r="B23" s="9">
        <v>32768</v>
      </c>
      <c r="C23" s="9">
        <v>1024</v>
      </c>
      <c r="D23" s="9">
        <v>16</v>
      </c>
      <c r="E23" s="9">
        <v>200</v>
      </c>
      <c r="F23" s="9" t="str">
        <f t="shared" si="0"/>
        <v>32768_1024_16</v>
      </c>
      <c r="G23" s="61">
        <v>0.0945586590701902</v>
      </c>
      <c r="H23" s="61">
        <v>96.8280668878748</v>
      </c>
      <c r="I23" s="61">
        <v>3195.32620729986</v>
      </c>
      <c r="J23" s="61">
        <v>13989.1051058936</v>
      </c>
      <c r="K23" s="61">
        <v>149.753955657869</v>
      </c>
      <c r="L23" s="12">
        <f t="shared" si="2"/>
        <v>6.67761993736326</v>
      </c>
    </row>
    <row r="24" spans="1:12">
      <c r="A24" t="str">
        <f t="shared" si="1"/>
        <v>I_32768_O_16384</v>
      </c>
      <c r="B24" s="9">
        <v>32768</v>
      </c>
      <c r="C24" s="9">
        <v>16384</v>
      </c>
      <c r="D24" s="9">
        <v>1</v>
      </c>
      <c r="E24" s="9">
        <v>10</v>
      </c>
      <c r="F24" s="9" t="str">
        <f t="shared" si="0"/>
        <v>32768_16384_1</v>
      </c>
      <c r="G24" s="61">
        <v>0.00222933576525752</v>
      </c>
      <c r="H24" s="61">
        <v>36.5254371779793</v>
      </c>
      <c r="I24" s="61">
        <v>109.576311533938</v>
      </c>
      <c r="J24" s="61">
        <v>7707.07768462598</v>
      </c>
      <c r="K24" s="61">
        <v>26.9093800851098</v>
      </c>
      <c r="L24" s="12">
        <f t="shared" si="2"/>
        <v>37.1617628067674</v>
      </c>
    </row>
    <row r="25" spans="1:12">
      <c r="A25" t="str">
        <f t="shared" si="1"/>
        <v>I_32768_O_16384</v>
      </c>
      <c r="B25" s="9">
        <v>32768</v>
      </c>
      <c r="C25" s="9">
        <v>16384</v>
      </c>
      <c r="D25" s="9">
        <v>4</v>
      </c>
      <c r="E25" s="9">
        <v>30</v>
      </c>
      <c r="F25" s="9" t="str">
        <f t="shared" si="0"/>
        <v>32768_16384_4</v>
      </c>
      <c r="G25" s="61">
        <v>0.00755088610816035</v>
      </c>
      <c r="H25" s="61">
        <v>123.713717996099</v>
      </c>
      <c r="I25" s="61">
        <v>371.141153988297</v>
      </c>
      <c r="J25" s="61">
        <v>10210.9921234659</v>
      </c>
      <c r="K25" s="61">
        <v>30.2397563404211</v>
      </c>
      <c r="L25" s="12">
        <f t="shared" si="2"/>
        <v>33.0690495235014</v>
      </c>
    </row>
    <row r="26" spans="1:12">
      <c r="A26" t="str">
        <f t="shared" si="1"/>
        <v>I_131072_O_1024</v>
      </c>
      <c r="B26" s="9">
        <v>131072</v>
      </c>
      <c r="C26" s="9">
        <v>1024</v>
      </c>
      <c r="D26" s="9">
        <v>1</v>
      </c>
      <c r="E26" s="9">
        <v>10</v>
      </c>
      <c r="F26" s="9" t="str">
        <f t="shared" si="0"/>
        <v>131072_1024_1</v>
      </c>
      <c r="G26" s="61">
        <v>0.0124355392090689</v>
      </c>
      <c r="H26" s="61">
        <v>12.7339921500866</v>
      </c>
      <c r="I26" s="61">
        <v>1642.68498736117</v>
      </c>
      <c r="J26" s="61">
        <v>44614.600319229</v>
      </c>
      <c r="K26" s="61">
        <v>34.9941827586232</v>
      </c>
      <c r="L26" s="12">
        <f t="shared" si="2"/>
        <v>28.5761781293087</v>
      </c>
    </row>
    <row r="27" spans="1:12">
      <c r="A27" t="str">
        <f t="shared" si="1"/>
        <v>I_131072_O_1024</v>
      </c>
      <c r="B27" s="9">
        <v>131072</v>
      </c>
      <c r="C27" s="9">
        <v>1024</v>
      </c>
      <c r="D27" s="9">
        <v>2</v>
      </c>
      <c r="E27" s="9">
        <v>10</v>
      </c>
      <c r="F27" s="9" t="str">
        <f t="shared" si="0"/>
        <v>131072_1024_2</v>
      </c>
      <c r="G27" s="61">
        <v>0.0152277232575856</v>
      </c>
      <c r="H27" s="61">
        <v>15.5931886157676</v>
      </c>
      <c r="I27" s="61">
        <v>2011.52133143403</v>
      </c>
      <c r="J27" s="61">
        <v>49840.2792098</v>
      </c>
      <c r="K27" s="61">
        <v>76.9738209898149</v>
      </c>
      <c r="L27" s="12">
        <f t="shared" si="2"/>
        <v>12.9914299061796</v>
      </c>
    </row>
    <row r="28" spans="1:12">
      <c r="A28" t="str">
        <f t="shared" si="1"/>
        <v>I_131072_O_1024</v>
      </c>
      <c r="B28" s="9">
        <v>131072</v>
      </c>
      <c r="C28" s="9">
        <v>1024</v>
      </c>
      <c r="D28" s="9">
        <v>4</v>
      </c>
      <c r="E28" s="9">
        <v>20</v>
      </c>
      <c r="F28" s="9" t="str">
        <f t="shared" si="0"/>
        <v>131072_1024_4</v>
      </c>
      <c r="G28" s="61">
        <v>0.0179922429949003</v>
      </c>
      <c r="H28" s="61">
        <v>18.4240568267779</v>
      </c>
      <c r="I28" s="61">
        <v>2376.70333065435</v>
      </c>
      <c r="J28" s="61">
        <v>63995.856660977</v>
      </c>
      <c r="K28" s="61">
        <v>152.679721743846</v>
      </c>
      <c r="L28" s="12">
        <f t="shared" si="2"/>
        <v>6.54965825571598</v>
      </c>
    </row>
    <row r="29" spans="1:12">
      <c r="A29" t="str">
        <f t="shared" si="1"/>
        <v>I_131072_O_16384</v>
      </c>
      <c r="B29" s="9">
        <v>131072</v>
      </c>
      <c r="C29" s="9">
        <v>16384</v>
      </c>
      <c r="D29" s="9">
        <v>1</v>
      </c>
      <c r="E29" s="9">
        <v>10</v>
      </c>
      <c r="F29" s="9" t="str">
        <f t="shared" si="0"/>
        <v>131072_16384_1</v>
      </c>
      <c r="G29" s="61">
        <v>0.00200020398651993</v>
      </c>
      <c r="H29" s="61">
        <v>32.7713421151426</v>
      </c>
      <c r="I29" s="61">
        <v>294.942079036283</v>
      </c>
      <c r="J29" s="61">
        <v>44662.6332391053</v>
      </c>
      <c r="K29" s="61">
        <v>27.790104739566</v>
      </c>
      <c r="L29" s="12">
        <f t="shared" si="2"/>
        <v>35.9840313439429</v>
      </c>
    </row>
    <row r="30" spans="1:12">
      <c r="A30" t="str">
        <f t="shared" si="1"/>
        <v>I_131072_O_16384</v>
      </c>
      <c r="B30" s="9">
        <v>131072</v>
      </c>
      <c r="C30" s="9">
        <v>16384</v>
      </c>
      <c r="D30" s="9">
        <v>2</v>
      </c>
      <c r="E30" s="9">
        <v>10</v>
      </c>
      <c r="F30" s="9" t="str">
        <f t="shared" si="0"/>
        <v>131072_16384_2</v>
      </c>
      <c r="G30" s="61">
        <v>0.00334770347164007</v>
      </c>
      <c r="H30" s="61">
        <v>54.848773679351</v>
      </c>
      <c r="I30" s="61">
        <v>493.638963114159</v>
      </c>
      <c r="J30" s="61">
        <v>49843.2488922029</v>
      </c>
      <c r="K30" s="61">
        <v>32.8790281393279</v>
      </c>
      <c r="L30" s="12">
        <f t="shared" si="2"/>
        <v>30.4145242907548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4"/>
  <sheetViews>
    <sheetView workbookViewId="0">
      <selection activeCell="K4" sqref="K4"/>
    </sheetView>
  </sheetViews>
  <sheetFormatPr defaultColWidth="9.23333333333333" defaultRowHeight="13.5"/>
  <cols>
    <col min="1" max="1" width="27.875" customWidth="1"/>
    <col min="6" max="6" width="9.69166666666667"/>
    <col min="7" max="7" width="10.7666666666667"/>
    <col min="9" max="9" width="16.6666666666667" customWidth="1"/>
  </cols>
  <sheetData>
    <row r="1" ht="40.5" spans="1:9">
      <c r="A1" s="23" t="s">
        <v>0</v>
      </c>
      <c r="B1" s="13" t="s">
        <v>1</v>
      </c>
      <c r="C1" s="13" t="s">
        <v>2</v>
      </c>
      <c r="D1" s="13" t="s">
        <v>3</v>
      </c>
      <c r="E1" s="13" t="s">
        <v>6</v>
      </c>
      <c r="F1" s="13" t="s">
        <v>7</v>
      </c>
      <c r="G1" s="13" t="s">
        <v>8</v>
      </c>
      <c r="H1" s="13" t="s">
        <v>9</v>
      </c>
      <c r="I1" s="23" t="s">
        <v>10</v>
      </c>
    </row>
    <row r="2" spans="1:9">
      <c r="A2" s="9" t="s">
        <v>38</v>
      </c>
      <c r="B2" s="9">
        <v>1024</v>
      </c>
      <c r="C2" s="9">
        <v>1024</v>
      </c>
      <c r="D2" s="9">
        <v>1</v>
      </c>
      <c r="E2" s="11">
        <v>82.8872953905787</v>
      </c>
      <c r="F2" s="11">
        <v>166.098369278776</v>
      </c>
      <c r="G2" s="11">
        <v>160.97854374675</v>
      </c>
      <c r="H2" s="11">
        <v>11.91876116244</v>
      </c>
      <c r="I2" s="35">
        <f>1000/H2</f>
        <v>83.9013372590546</v>
      </c>
    </row>
    <row r="3" spans="1:9">
      <c r="A3" s="9" t="s">
        <v>39</v>
      </c>
      <c r="B3" s="9">
        <v>1024</v>
      </c>
      <c r="C3" s="9">
        <v>1024</v>
      </c>
      <c r="D3" s="9">
        <v>2</v>
      </c>
      <c r="E3" s="11">
        <v>163.57956777908</v>
      </c>
      <c r="F3" s="11">
        <v>327.798118244798</v>
      </c>
      <c r="G3" s="11">
        <v>225.782934168819</v>
      </c>
      <c r="H3" s="11">
        <v>12.017069585878</v>
      </c>
      <c r="I3" s="35">
        <f t="shared" ref="I3:I34" si="0">1000/H3</f>
        <v>83.2149629203414</v>
      </c>
    </row>
    <row r="4" spans="1:9">
      <c r="A4" s="9" t="s">
        <v>40</v>
      </c>
      <c r="B4" s="9">
        <v>1024</v>
      </c>
      <c r="C4" s="9">
        <v>1024</v>
      </c>
      <c r="D4" s="9">
        <v>4</v>
      </c>
      <c r="E4" s="11">
        <v>299.784090139053</v>
      </c>
      <c r="F4" s="11">
        <v>600.739211880212</v>
      </c>
      <c r="G4" s="11">
        <v>303.754942317027</v>
      </c>
      <c r="H4" s="11">
        <v>13.0571345246751</v>
      </c>
      <c r="I4" s="35">
        <f t="shared" si="0"/>
        <v>76.5864821343627</v>
      </c>
    </row>
    <row r="5" spans="1:9">
      <c r="A5" s="9" t="s">
        <v>41</v>
      </c>
      <c r="B5" s="9">
        <v>1024</v>
      </c>
      <c r="C5" s="9">
        <v>1024</v>
      </c>
      <c r="D5" s="9">
        <v>8</v>
      </c>
      <c r="E5" s="11">
        <v>547.950838944125</v>
      </c>
      <c r="F5" s="11">
        <v>1098.04211085287</v>
      </c>
      <c r="G5" s="11">
        <v>344.309500767849</v>
      </c>
      <c r="H5" s="11">
        <v>14.2715520086973</v>
      </c>
      <c r="I5" s="35">
        <f t="shared" si="0"/>
        <v>70.069464021193</v>
      </c>
    </row>
    <row r="6" spans="1:9">
      <c r="A6" s="9" t="s">
        <v>42</v>
      </c>
      <c r="B6" s="9">
        <v>1024</v>
      </c>
      <c r="C6" s="9">
        <v>1024</v>
      </c>
      <c r="D6" s="9">
        <v>16</v>
      </c>
      <c r="E6" s="11">
        <v>997.794550754134</v>
      </c>
      <c r="F6" s="11">
        <v>1999.48673647215</v>
      </c>
      <c r="G6" s="11">
        <v>597.968460351694</v>
      </c>
      <c r="H6" s="11">
        <v>15.4623986584979</v>
      </c>
      <c r="I6" s="35">
        <f t="shared" si="0"/>
        <v>64.6730188559985</v>
      </c>
    </row>
    <row r="7" spans="1:9">
      <c r="A7" s="9" t="s">
        <v>43</v>
      </c>
      <c r="B7" s="9">
        <v>1024</v>
      </c>
      <c r="C7" s="9">
        <v>1024</v>
      </c>
      <c r="D7" s="9">
        <v>32</v>
      </c>
      <c r="E7" s="11">
        <v>1794.43757717995</v>
      </c>
      <c r="F7" s="11">
        <v>3595.88467614576</v>
      </c>
      <c r="G7" s="11">
        <v>1109.65704539557</v>
      </c>
      <c r="H7" s="11">
        <v>16.7612699929456</v>
      </c>
      <c r="I7" s="35">
        <f t="shared" si="0"/>
        <v>59.6613502688564</v>
      </c>
    </row>
    <row r="8" spans="1:9">
      <c r="A8" s="9" t="s">
        <v>44</v>
      </c>
      <c r="B8" s="9">
        <v>1024</v>
      </c>
      <c r="C8" s="9">
        <v>1024</v>
      </c>
      <c r="D8" s="9">
        <v>64</v>
      </c>
      <c r="E8" s="11">
        <v>2896.63961189275</v>
      </c>
      <c r="F8" s="11">
        <v>5804.59422226946</v>
      </c>
      <c r="G8" s="11">
        <v>2517.86810414341</v>
      </c>
      <c r="H8" s="11">
        <v>16.8532872096823</v>
      </c>
      <c r="I8" s="35">
        <f t="shared" si="0"/>
        <v>59.3356054257175</v>
      </c>
    </row>
    <row r="9" spans="1:9">
      <c r="A9" s="9" t="s">
        <v>45</v>
      </c>
      <c r="B9" s="9">
        <v>1024</v>
      </c>
      <c r="C9" s="9">
        <v>1024</v>
      </c>
      <c r="D9" s="9">
        <v>128</v>
      </c>
      <c r="E9" s="11">
        <v>2956.73695570174</v>
      </c>
      <c r="F9" s="11">
        <v>5925.0236651367</v>
      </c>
      <c r="G9" s="11">
        <v>21221.5934598316</v>
      </c>
      <c r="H9" s="11">
        <v>17.1450163661263</v>
      </c>
      <c r="I9" s="35">
        <f t="shared" si="0"/>
        <v>58.3259869016933</v>
      </c>
    </row>
    <row r="10" spans="1:9">
      <c r="A10" s="9" t="s">
        <v>46</v>
      </c>
      <c r="B10" s="9">
        <v>1024</v>
      </c>
      <c r="C10" s="9">
        <v>1024</v>
      </c>
      <c r="D10" s="9">
        <v>256</v>
      </c>
      <c r="E10" s="11">
        <v>3389.04280022154</v>
      </c>
      <c r="F10" s="11">
        <v>6791.32404888145</v>
      </c>
      <c r="G10" s="11">
        <v>49365.9588768987</v>
      </c>
      <c r="H10" s="11">
        <v>17.1434310060682</v>
      </c>
      <c r="I10" s="35">
        <f t="shared" si="0"/>
        <v>58.3313806697174</v>
      </c>
    </row>
    <row r="11" spans="1:9">
      <c r="A11" s="9" t="s">
        <v>47</v>
      </c>
      <c r="B11" s="9">
        <v>1024</v>
      </c>
      <c r="C11" s="9">
        <v>1024</v>
      </c>
      <c r="D11" s="9">
        <v>512</v>
      </c>
      <c r="E11" s="11">
        <v>3450.32987651095</v>
      </c>
      <c r="F11" s="11">
        <v>6914.13760410203</v>
      </c>
      <c r="G11" s="11">
        <v>114960.237978422</v>
      </c>
      <c r="H11" s="11">
        <v>17.1984524631189</v>
      </c>
      <c r="I11" s="35">
        <f t="shared" si="0"/>
        <v>58.1447663471142</v>
      </c>
    </row>
    <row r="12" spans="1:9">
      <c r="A12" s="9" t="s">
        <v>48</v>
      </c>
      <c r="B12" s="9">
        <v>1024</v>
      </c>
      <c r="C12" s="9">
        <v>16384</v>
      </c>
      <c r="D12" s="9">
        <v>1</v>
      </c>
      <c r="E12" s="11">
        <v>82.8366659203125</v>
      </c>
      <c r="F12" s="11">
        <v>88.0341813357227</v>
      </c>
      <c r="G12" s="11">
        <v>84.9570413120091</v>
      </c>
      <c r="H12" s="11">
        <v>12.0674787970753</v>
      </c>
      <c r="I12" s="35">
        <f t="shared" si="0"/>
        <v>82.8673509036836</v>
      </c>
    </row>
    <row r="13" spans="1:9">
      <c r="A13" s="9" t="s">
        <v>49</v>
      </c>
      <c r="B13" s="9">
        <v>1024</v>
      </c>
      <c r="C13" s="9">
        <v>16384</v>
      </c>
      <c r="D13" s="9">
        <v>2</v>
      </c>
      <c r="E13" s="11">
        <v>159.686926478036</v>
      </c>
      <c r="F13" s="11">
        <v>169.706345448948</v>
      </c>
      <c r="G13" s="11">
        <v>262.786972569301</v>
      </c>
      <c r="H13" s="11">
        <v>12.5091245634351</v>
      </c>
      <c r="I13" s="35">
        <f t="shared" si="0"/>
        <v>79.941645390842</v>
      </c>
    </row>
    <row r="14" spans="1:9">
      <c r="A14" s="9" t="s">
        <v>50</v>
      </c>
      <c r="B14" s="9">
        <v>1024</v>
      </c>
      <c r="C14" s="9">
        <v>16384</v>
      </c>
      <c r="D14" s="9">
        <v>4</v>
      </c>
      <c r="E14" s="11">
        <v>319.662148101837</v>
      </c>
      <c r="F14" s="11">
        <v>339.719074874828</v>
      </c>
      <c r="G14" s="11">
        <v>237.696278491057</v>
      </c>
      <c r="H14" s="11">
        <v>12.4993752501498</v>
      </c>
      <c r="I14" s="35">
        <f t="shared" si="0"/>
        <v>80.0039985988912</v>
      </c>
    </row>
    <row r="15" spans="1:9">
      <c r="A15" s="9" t="s">
        <v>51</v>
      </c>
      <c r="B15" s="9">
        <v>1024</v>
      </c>
      <c r="C15" s="9">
        <v>16384</v>
      </c>
      <c r="D15" s="9">
        <v>8</v>
      </c>
      <c r="E15" s="11">
        <v>576.011531799174</v>
      </c>
      <c r="F15" s="11">
        <v>612.152880352003</v>
      </c>
      <c r="G15" s="11">
        <v>371.297531761229</v>
      </c>
      <c r="H15" s="11">
        <v>13.8663264743317</v>
      </c>
      <c r="I15" s="35">
        <f t="shared" si="0"/>
        <v>72.1171538728101</v>
      </c>
    </row>
    <row r="16" spans="1:9">
      <c r="A16" s="9" t="s">
        <v>52</v>
      </c>
      <c r="B16" s="9">
        <v>1024</v>
      </c>
      <c r="C16" s="9">
        <v>16384</v>
      </c>
      <c r="D16" s="9">
        <v>16</v>
      </c>
      <c r="E16" s="11">
        <v>1093.82776477231</v>
      </c>
      <c r="F16" s="11">
        <v>1162.45904786472</v>
      </c>
      <c r="G16" s="11">
        <v>489.627885923255</v>
      </c>
      <c r="H16" s="11">
        <v>14.5980804552847</v>
      </c>
      <c r="I16" s="35">
        <f t="shared" si="0"/>
        <v>68.5021570516134</v>
      </c>
    </row>
    <row r="17" spans="1:9">
      <c r="A17" s="9" t="s">
        <v>53</v>
      </c>
      <c r="B17" s="9">
        <v>1024</v>
      </c>
      <c r="C17" s="9">
        <v>16384</v>
      </c>
      <c r="D17" s="9">
        <v>32</v>
      </c>
      <c r="E17" s="11">
        <v>1927.48194933487</v>
      </c>
      <c r="F17" s="11">
        <v>2048.42014781609</v>
      </c>
      <c r="G17" s="11">
        <v>687.614716909593</v>
      </c>
      <c r="H17" s="11">
        <v>16.5602293112073</v>
      </c>
      <c r="I17" s="35">
        <f t="shared" si="0"/>
        <v>60.3856372522112</v>
      </c>
    </row>
    <row r="18" spans="1:9">
      <c r="A18" s="9" t="s">
        <v>54</v>
      </c>
      <c r="B18" s="9">
        <v>1024</v>
      </c>
      <c r="C18" s="9">
        <v>16384</v>
      </c>
      <c r="D18" s="9">
        <v>64</v>
      </c>
      <c r="E18" s="11">
        <v>2771.45592570875</v>
      </c>
      <c r="F18" s="11">
        <v>2945.34854604741</v>
      </c>
      <c r="G18" s="11">
        <v>13898.1331463437</v>
      </c>
      <c r="H18" s="11">
        <v>16.2555060500471</v>
      </c>
      <c r="I18" s="35">
        <f t="shared" si="0"/>
        <v>61.5176172874115</v>
      </c>
    </row>
    <row r="19" spans="1:9">
      <c r="A19" s="9" t="s">
        <v>55</v>
      </c>
      <c r="B19" s="9">
        <v>8192</v>
      </c>
      <c r="C19" s="9">
        <v>1024</v>
      </c>
      <c r="D19" s="9">
        <v>1</v>
      </c>
      <c r="E19" s="11">
        <v>79.5159727260175</v>
      </c>
      <c r="F19" s="11">
        <v>715.954363802619</v>
      </c>
      <c r="G19" s="11">
        <v>456.664357800036</v>
      </c>
      <c r="H19" s="11">
        <v>12.1416900250496</v>
      </c>
      <c r="I19" s="35">
        <f t="shared" si="0"/>
        <v>82.3608573383848</v>
      </c>
    </row>
    <row r="20" spans="1:9">
      <c r="A20" s="9" t="s">
        <v>56</v>
      </c>
      <c r="B20" s="9">
        <v>8192</v>
      </c>
      <c r="C20" s="9">
        <v>1024</v>
      </c>
      <c r="D20" s="9">
        <v>2</v>
      </c>
      <c r="E20" s="11">
        <v>153.028675126297</v>
      </c>
      <c r="F20" s="11">
        <v>1377.85584439888</v>
      </c>
      <c r="G20" s="11">
        <v>685.754862905014</v>
      </c>
      <c r="H20" s="11">
        <v>12.4112168247429</v>
      </c>
      <c r="I20" s="35">
        <f t="shared" si="0"/>
        <v>80.5722770072317</v>
      </c>
    </row>
    <row r="21" spans="1:9">
      <c r="A21" s="9" t="s">
        <v>57</v>
      </c>
      <c r="B21" s="9">
        <v>8192</v>
      </c>
      <c r="C21" s="9">
        <v>1024</v>
      </c>
      <c r="D21" s="9">
        <v>4</v>
      </c>
      <c r="E21" s="11">
        <v>293.098988174265</v>
      </c>
      <c r="F21" s="11">
        <v>2639.03581149094</v>
      </c>
      <c r="G21" s="11">
        <v>745.190527697559</v>
      </c>
      <c r="H21" s="11">
        <v>12.9300538797108</v>
      </c>
      <c r="I21" s="35">
        <f t="shared" si="0"/>
        <v>77.3391982201366</v>
      </c>
    </row>
    <row r="22" spans="1:9">
      <c r="A22" s="9" t="s">
        <v>58</v>
      </c>
      <c r="B22" s="9">
        <v>8192</v>
      </c>
      <c r="C22" s="9">
        <v>1024</v>
      </c>
      <c r="D22" s="9">
        <v>8</v>
      </c>
      <c r="E22" s="11">
        <v>500.760023930577</v>
      </c>
      <c r="F22" s="11">
        <v>4508.79630921867</v>
      </c>
      <c r="G22" s="11">
        <v>1356.37697734637</v>
      </c>
      <c r="H22" s="11">
        <v>14.6587324155292</v>
      </c>
      <c r="I22" s="35">
        <f t="shared" si="0"/>
        <v>68.2187225779917</v>
      </c>
    </row>
    <row r="23" spans="1:9">
      <c r="A23" s="9" t="s">
        <v>59</v>
      </c>
      <c r="B23" s="9">
        <v>8192</v>
      </c>
      <c r="C23" s="9">
        <v>1024</v>
      </c>
      <c r="D23" s="9">
        <v>16</v>
      </c>
      <c r="E23" s="11">
        <v>878.180834920738</v>
      </c>
      <c r="F23" s="11">
        <v>7907.05790817305</v>
      </c>
      <c r="G23" s="11">
        <v>2474.94608580018</v>
      </c>
      <c r="H23" s="11">
        <v>15.8098699394244</v>
      </c>
      <c r="I23" s="35">
        <f t="shared" si="0"/>
        <v>63.2516272323242</v>
      </c>
    </row>
    <row r="24" spans="1:9">
      <c r="A24" s="9" t="s">
        <v>60</v>
      </c>
      <c r="B24" s="9">
        <v>8192</v>
      </c>
      <c r="C24" s="9">
        <v>1024</v>
      </c>
      <c r="D24" s="9">
        <v>32</v>
      </c>
      <c r="E24" s="11">
        <v>1434.48047922892</v>
      </c>
      <c r="F24" s="11">
        <v>12915.9277524323</v>
      </c>
      <c r="G24" s="11">
        <v>3867.36244078201</v>
      </c>
      <c r="H24" s="11">
        <v>18.5390526791635</v>
      </c>
      <c r="I24" s="35">
        <f t="shared" si="0"/>
        <v>53.9401887089908</v>
      </c>
    </row>
    <row r="25" spans="1:9">
      <c r="A25" s="9" t="s">
        <v>61</v>
      </c>
      <c r="B25" s="9">
        <v>8192</v>
      </c>
      <c r="C25" s="9">
        <v>1024</v>
      </c>
      <c r="D25" s="9">
        <v>64</v>
      </c>
      <c r="E25" s="11">
        <v>1959.70939719039</v>
      </c>
      <c r="F25" s="11">
        <v>17645.0396895463</v>
      </c>
      <c r="G25" s="11">
        <v>6785.98405056982</v>
      </c>
      <c r="H25" s="11">
        <v>22.8150995576083</v>
      </c>
      <c r="I25" s="35">
        <f t="shared" si="0"/>
        <v>43.830621798296</v>
      </c>
    </row>
    <row r="26" spans="1:9">
      <c r="A26" s="9" t="s">
        <v>62</v>
      </c>
      <c r="B26" s="9">
        <v>8192</v>
      </c>
      <c r="C26" s="9">
        <v>1024</v>
      </c>
      <c r="D26" s="9">
        <v>128</v>
      </c>
      <c r="E26" s="11">
        <v>2097.88498228496</v>
      </c>
      <c r="F26" s="11">
        <v>18889.1597037767</v>
      </c>
      <c r="G26" s="11">
        <v>30595.2380837079</v>
      </c>
      <c r="H26" s="11">
        <v>25.0453906579318</v>
      </c>
      <c r="I26" s="35">
        <f t="shared" si="0"/>
        <v>39.9275065682916</v>
      </c>
    </row>
    <row r="27" spans="1:9">
      <c r="A27" s="9" t="s">
        <v>63</v>
      </c>
      <c r="B27" s="9">
        <v>8192</v>
      </c>
      <c r="C27" s="9">
        <v>1024</v>
      </c>
      <c r="D27" s="9">
        <v>256</v>
      </c>
      <c r="E27" s="11">
        <v>2161.5397818656</v>
      </c>
      <c r="F27" s="11">
        <v>19462.3015515633</v>
      </c>
      <c r="G27" s="11">
        <v>81734.9621632765</v>
      </c>
      <c r="H27" s="11">
        <v>25.5291449677354</v>
      </c>
      <c r="I27" s="35">
        <f t="shared" si="0"/>
        <v>39.1709162709458</v>
      </c>
    </row>
    <row r="28" spans="1:9">
      <c r="A28" s="9" t="s">
        <v>64</v>
      </c>
      <c r="B28" s="9">
        <v>8192</v>
      </c>
      <c r="C28" s="9">
        <v>16384</v>
      </c>
      <c r="D28" s="9">
        <v>1</v>
      </c>
      <c r="E28" s="11">
        <v>82.3071795716951</v>
      </c>
      <c r="F28" s="11">
        <v>123.480863883805</v>
      </c>
      <c r="G28" s="11">
        <v>451.026919297874</v>
      </c>
      <c r="H28" s="11">
        <v>12.1227973537851</v>
      </c>
      <c r="I28" s="35">
        <f t="shared" si="0"/>
        <v>82.4892119216832</v>
      </c>
    </row>
    <row r="29" spans="1:9">
      <c r="A29" s="9" t="s">
        <v>65</v>
      </c>
      <c r="B29" s="9">
        <v>8192</v>
      </c>
      <c r="C29" s="9">
        <v>16384</v>
      </c>
      <c r="D29" s="9">
        <v>2</v>
      </c>
      <c r="E29" s="11">
        <v>162.66400787086</v>
      </c>
      <c r="F29" s="11">
        <v>244.035724698837</v>
      </c>
      <c r="G29" s="11">
        <v>678.742662770673</v>
      </c>
      <c r="H29" s="11">
        <v>12.2545226224117</v>
      </c>
      <c r="I29" s="35">
        <f t="shared" si="0"/>
        <v>81.6025259255019</v>
      </c>
    </row>
    <row r="30" spans="1:9">
      <c r="A30" s="9" t="s">
        <v>66</v>
      </c>
      <c r="B30" s="9">
        <v>8192</v>
      </c>
      <c r="C30" s="9">
        <v>16384</v>
      </c>
      <c r="D30" s="9">
        <v>4</v>
      </c>
      <c r="E30" s="11">
        <v>298.742769846126</v>
      </c>
      <c r="F30" s="11">
        <v>448.187090015734</v>
      </c>
      <c r="G30" s="11">
        <v>805.01557176467</v>
      </c>
      <c r="H30" s="11">
        <v>13.3410479372683</v>
      </c>
      <c r="I30" s="35">
        <f t="shared" si="0"/>
        <v>74.9566304462855</v>
      </c>
    </row>
    <row r="31" spans="1:9">
      <c r="A31" s="9" t="s">
        <v>67</v>
      </c>
      <c r="B31" s="9">
        <v>8192</v>
      </c>
      <c r="C31" s="9">
        <v>16384</v>
      </c>
      <c r="D31" s="9">
        <v>8</v>
      </c>
      <c r="E31" s="11">
        <v>599.743877854479</v>
      </c>
      <c r="F31" s="11">
        <v>899.762238626898</v>
      </c>
      <c r="G31" s="11">
        <v>1365.2700727107</v>
      </c>
      <c r="H31" s="11">
        <v>13.2560442694272</v>
      </c>
      <c r="I31" s="35">
        <f t="shared" si="0"/>
        <v>75.4372857901757</v>
      </c>
    </row>
    <row r="32" spans="1:9">
      <c r="A32" s="9" t="s">
        <v>68</v>
      </c>
      <c r="B32" s="9">
        <v>8192</v>
      </c>
      <c r="C32" s="9">
        <v>16384</v>
      </c>
      <c r="D32" s="9">
        <v>16</v>
      </c>
      <c r="E32" s="11">
        <v>1134.71004504616</v>
      </c>
      <c r="F32" s="11">
        <v>1702.34209638884</v>
      </c>
      <c r="G32" s="11">
        <v>1940.14687871094</v>
      </c>
      <c r="H32" s="11">
        <v>13.9822585632565</v>
      </c>
      <c r="I32" s="35">
        <f t="shared" si="0"/>
        <v>71.5192038164611</v>
      </c>
    </row>
    <row r="33" spans="1:9">
      <c r="A33" s="9" t="s">
        <v>69</v>
      </c>
      <c r="B33" s="9">
        <v>8192</v>
      </c>
      <c r="C33" s="9">
        <v>16384</v>
      </c>
      <c r="D33" s="9">
        <v>32</v>
      </c>
      <c r="E33" s="11">
        <v>1992.67290146677</v>
      </c>
      <c r="F33" s="11">
        <v>2989.49584460774</v>
      </c>
      <c r="G33" s="11">
        <v>4747.74160733795</v>
      </c>
      <c r="H33" s="11">
        <v>15.7691998334455</v>
      </c>
      <c r="I33" s="35">
        <f t="shared" si="0"/>
        <v>63.4147585522419</v>
      </c>
    </row>
    <row r="34" spans="1:9">
      <c r="A34" s="9" t="s">
        <v>70</v>
      </c>
      <c r="B34" s="9">
        <v>32768</v>
      </c>
      <c r="C34" s="9">
        <v>1024</v>
      </c>
      <c r="D34" s="9">
        <v>1</v>
      </c>
      <c r="E34" s="11">
        <v>72.6461175724003</v>
      </c>
      <c r="F34" s="11">
        <v>2397.60565378598</v>
      </c>
      <c r="G34" s="11">
        <v>1814.79830143507</v>
      </c>
      <c r="H34" s="11">
        <v>12.0045896836912</v>
      </c>
      <c r="I34" s="35">
        <f t="shared" si="0"/>
        <v>83.3014727157686</v>
      </c>
    </row>
    <row r="35" spans="1:9">
      <c r="A35" s="9" t="s">
        <v>71</v>
      </c>
      <c r="B35" s="9">
        <v>32768</v>
      </c>
      <c r="C35" s="9">
        <v>1024</v>
      </c>
      <c r="D35" s="9">
        <v>1</v>
      </c>
      <c r="E35" s="11">
        <v>72.1623696423917</v>
      </c>
      <c r="F35" s="11">
        <v>2381.64008245534</v>
      </c>
      <c r="G35" s="11">
        <v>1843.59569684602</v>
      </c>
      <c r="H35" s="11">
        <v>12.0687601868908</v>
      </c>
      <c r="I35" s="35">
        <f t="shared" ref="I35:I54" si="1">1000/H35</f>
        <v>82.8585525368388</v>
      </c>
    </row>
    <row r="36" spans="1:9">
      <c r="A36" s="9" t="s">
        <v>72</v>
      </c>
      <c r="B36" s="9">
        <v>32768</v>
      </c>
      <c r="C36" s="9">
        <v>1024</v>
      </c>
      <c r="D36" s="9">
        <v>2</v>
      </c>
      <c r="E36" s="11">
        <v>134.220058554899</v>
      </c>
      <c r="F36" s="11">
        <v>4429.78622941539</v>
      </c>
      <c r="G36" s="11">
        <v>2837.833146099</v>
      </c>
      <c r="H36" s="11">
        <v>12.1406902626697</v>
      </c>
      <c r="I36" s="35">
        <f t="shared" si="1"/>
        <v>82.3676395958151</v>
      </c>
    </row>
    <row r="37" spans="1:9">
      <c r="A37" s="9" t="s">
        <v>73</v>
      </c>
      <c r="B37" s="9">
        <v>32768</v>
      </c>
      <c r="C37" s="9">
        <v>1024</v>
      </c>
      <c r="D37" s="9">
        <v>4</v>
      </c>
      <c r="E37" s="11">
        <v>246.779472461227</v>
      </c>
      <c r="F37" s="11">
        <v>8144.68657353479</v>
      </c>
      <c r="G37" s="11">
        <v>4110.51715287612</v>
      </c>
      <c r="H37" s="11">
        <v>12.2054387461498</v>
      </c>
      <c r="I37" s="35">
        <f t="shared" si="1"/>
        <v>81.9306885068306</v>
      </c>
    </row>
    <row r="38" spans="1:9">
      <c r="A38" s="9" t="s">
        <v>74</v>
      </c>
      <c r="B38" s="9">
        <v>32768</v>
      </c>
      <c r="C38" s="9">
        <v>1024</v>
      </c>
      <c r="D38" s="9">
        <v>8</v>
      </c>
      <c r="E38" s="11">
        <v>421.947832924635</v>
      </c>
      <c r="F38" s="11">
        <v>13925.9267202353</v>
      </c>
      <c r="G38" s="11">
        <v>5720.72230646153</v>
      </c>
      <c r="H38" s="11">
        <v>13.3069445918366</v>
      </c>
      <c r="I38" s="35">
        <f t="shared" si="1"/>
        <v>75.1487310327774</v>
      </c>
    </row>
    <row r="39" spans="1:9">
      <c r="A39" s="9" t="s">
        <v>75</v>
      </c>
      <c r="B39" s="9">
        <v>32768</v>
      </c>
      <c r="C39" s="9">
        <v>1024</v>
      </c>
      <c r="D39" s="9">
        <v>16</v>
      </c>
      <c r="E39" s="11">
        <v>630.812937295859</v>
      </c>
      <c r="F39" s="11">
        <v>20819.2910437996</v>
      </c>
      <c r="G39" s="11">
        <v>9479.6063201793</v>
      </c>
      <c r="H39" s="11">
        <v>16.1135539705869</v>
      </c>
      <c r="I39" s="35">
        <f t="shared" si="1"/>
        <v>62.0595556899095</v>
      </c>
    </row>
    <row r="40" spans="1:9">
      <c r="A40" s="9" t="s">
        <v>76</v>
      </c>
      <c r="B40" s="9">
        <v>32768</v>
      </c>
      <c r="C40" s="9">
        <v>1024</v>
      </c>
      <c r="D40" s="9">
        <v>32</v>
      </c>
      <c r="E40" s="11">
        <v>828.276870007213</v>
      </c>
      <c r="F40" s="11">
        <v>27336.3721667615</v>
      </c>
      <c r="G40" s="11">
        <v>17390.3055844275</v>
      </c>
      <c r="H40" s="11">
        <v>21.6524705255175</v>
      </c>
      <c r="I40" s="35">
        <f t="shared" si="1"/>
        <v>46.1841062811515</v>
      </c>
    </row>
    <row r="41" spans="1:9">
      <c r="A41" s="9" t="s">
        <v>77</v>
      </c>
      <c r="B41" s="9">
        <v>32768</v>
      </c>
      <c r="C41" s="9">
        <v>1024</v>
      </c>
      <c r="D41" s="9">
        <v>64</v>
      </c>
      <c r="E41" s="11">
        <v>959.712597417768</v>
      </c>
      <c r="F41" s="11">
        <v>31674.26459212</v>
      </c>
      <c r="G41" s="11">
        <v>22422.0038346975</v>
      </c>
      <c r="H41" s="11">
        <v>41.6200253460561</v>
      </c>
      <c r="I41" s="35">
        <f t="shared" si="1"/>
        <v>24.0268955072792</v>
      </c>
    </row>
    <row r="42" spans="1:9">
      <c r="A42" s="9" t="s">
        <v>78</v>
      </c>
      <c r="B42" s="9">
        <v>32768</v>
      </c>
      <c r="C42" s="9">
        <v>16384</v>
      </c>
      <c r="D42" s="9">
        <v>1</v>
      </c>
      <c r="E42" s="11">
        <v>82.1494804304748</v>
      </c>
      <c r="F42" s="11">
        <v>246.46849731692</v>
      </c>
      <c r="G42" s="11">
        <v>1813.7324671261</v>
      </c>
      <c r="H42" s="11">
        <v>12.0629346424974</v>
      </c>
      <c r="I42" s="35">
        <f t="shared" si="1"/>
        <v>82.8985673583132</v>
      </c>
    </row>
    <row r="43" spans="1:9">
      <c r="A43" s="9" t="s">
        <v>79</v>
      </c>
      <c r="B43" s="9">
        <v>32768</v>
      </c>
      <c r="C43" s="9">
        <v>16384</v>
      </c>
      <c r="D43" s="9">
        <v>2</v>
      </c>
      <c r="E43" s="11">
        <v>161.810580843416</v>
      </c>
      <c r="F43" s="11">
        <v>485.471247066589</v>
      </c>
      <c r="G43" s="11">
        <v>2718.15975010395</v>
      </c>
      <c r="H43" s="11">
        <v>12.1948229016701</v>
      </c>
      <c r="I43" s="35">
        <f t="shared" si="1"/>
        <v>82.0020108584806</v>
      </c>
    </row>
    <row r="44" spans="1:9">
      <c r="A44" s="9" t="s">
        <v>80</v>
      </c>
      <c r="B44" s="9">
        <v>32768</v>
      </c>
      <c r="C44" s="9">
        <v>16384</v>
      </c>
      <c r="D44" s="9">
        <v>4</v>
      </c>
      <c r="E44" s="11">
        <v>307.797855463378</v>
      </c>
      <c r="F44" s="11">
        <v>923.468712350943</v>
      </c>
      <c r="G44" s="11">
        <v>2714.18383554555</v>
      </c>
      <c r="H44" s="11">
        <v>12.8303034749183</v>
      </c>
      <c r="I44" s="35">
        <f t="shared" si="1"/>
        <v>77.940479112975</v>
      </c>
    </row>
    <row r="45" spans="1:9">
      <c r="A45" s="9" t="s">
        <v>81</v>
      </c>
      <c r="B45" s="9">
        <v>32768</v>
      </c>
      <c r="C45" s="9">
        <v>16384</v>
      </c>
      <c r="D45" s="9">
        <v>8</v>
      </c>
      <c r="E45" s="11">
        <v>631.060022766778</v>
      </c>
      <c r="F45" s="11">
        <v>1893.3341356887</v>
      </c>
      <c r="G45" s="11">
        <v>3446.62364455871</v>
      </c>
      <c r="H45" s="11">
        <v>12.4667106026567</v>
      </c>
      <c r="I45" s="35">
        <f t="shared" si="1"/>
        <v>80.2136210482737</v>
      </c>
    </row>
    <row r="46" spans="1:9">
      <c r="A46" s="9" t="s">
        <v>82</v>
      </c>
      <c r="B46" s="9">
        <v>32768</v>
      </c>
      <c r="C46" s="9">
        <v>16384</v>
      </c>
      <c r="D46" s="9">
        <v>16</v>
      </c>
      <c r="E46" s="11">
        <v>1089.53173902162</v>
      </c>
      <c r="F46" s="11">
        <v>3268.86121602461</v>
      </c>
      <c r="G46" s="11">
        <v>9349.55906646791</v>
      </c>
      <c r="H46" s="11">
        <v>14.1137736217001</v>
      </c>
      <c r="I46" s="35">
        <f t="shared" si="1"/>
        <v>70.8527730997816</v>
      </c>
    </row>
    <row r="47" spans="1:9">
      <c r="A47" s="9" t="s">
        <v>83</v>
      </c>
      <c r="B47" s="9">
        <v>32768</v>
      </c>
      <c r="C47" s="9">
        <v>16384</v>
      </c>
      <c r="D47" s="9">
        <v>32</v>
      </c>
      <c r="E47" s="11">
        <v>1739.65347519025</v>
      </c>
      <c r="F47" s="11">
        <v>5219.38514565748</v>
      </c>
      <c r="G47" s="11">
        <v>14804.5165668299</v>
      </c>
      <c r="H47" s="11">
        <v>17.4882011056754</v>
      </c>
      <c r="I47" s="35">
        <f t="shared" si="1"/>
        <v>57.1814101380314</v>
      </c>
    </row>
    <row r="48" spans="1:9">
      <c r="A48" s="9" t="s">
        <v>84</v>
      </c>
      <c r="B48" s="9">
        <v>65536</v>
      </c>
      <c r="C48" s="9">
        <v>1024</v>
      </c>
      <c r="D48" s="9">
        <v>1</v>
      </c>
      <c r="E48" s="11">
        <v>63.8731478496417</v>
      </c>
      <c r="F48" s="11">
        <v>4152.0041147105</v>
      </c>
      <c r="G48" s="11">
        <v>3751.90973712597</v>
      </c>
      <c r="H48" s="11">
        <v>12.0035438017258</v>
      </c>
      <c r="I48" s="35">
        <f t="shared" si="1"/>
        <v>83.308730864649</v>
      </c>
    </row>
    <row r="49" spans="1:9">
      <c r="A49" s="9" t="s">
        <v>85</v>
      </c>
      <c r="B49" s="9">
        <v>65536</v>
      </c>
      <c r="C49" s="9">
        <v>1024</v>
      </c>
      <c r="D49" s="9">
        <v>2</v>
      </c>
      <c r="E49" s="11">
        <v>113.867689721686</v>
      </c>
      <c r="F49" s="11">
        <v>7401.84462757259</v>
      </c>
      <c r="G49" s="11">
        <v>5545.2221770538</v>
      </c>
      <c r="H49" s="11">
        <v>12.1595760478974</v>
      </c>
      <c r="I49" s="35">
        <f t="shared" si="1"/>
        <v>82.2397093501395</v>
      </c>
    </row>
    <row r="50" spans="1:9">
      <c r="A50" s="9" t="s">
        <v>86</v>
      </c>
      <c r="B50" s="9">
        <v>65536</v>
      </c>
      <c r="C50" s="9">
        <v>1024</v>
      </c>
      <c r="D50" s="9">
        <v>4</v>
      </c>
      <c r="E50" s="11">
        <v>173.236586296356</v>
      </c>
      <c r="F50" s="11">
        <v>11261.0548146783</v>
      </c>
      <c r="G50" s="11">
        <v>8024.47876322548</v>
      </c>
      <c r="H50" s="11">
        <v>15.2559194822849</v>
      </c>
      <c r="I50" s="35">
        <f t="shared" si="1"/>
        <v>65.5483270714161</v>
      </c>
    </row>
    <row r="51" spans="1:9">
      <c r="A51" s="9" t="s">
        <v>87</v>
      </c>
      <c r="B51" s="9">
        <v>65536</v>
      </c>
      <c r="C51" s="9">
        <v>1024</v>
      </c>
      <c r="D51" s="9">
        <v>8</v>
      </c>
      <c r="E51" s="11">
        <v>332.662117025131</v>
      </c>
      <c r="F51" s="11">
        <v>21624.3370680282</v>
      </c>
      <c r="G51" s="11">
        <v>10528.9697221014</v>
      </c>
      <c r="H51" s="11">
        <v>13.7589699264391</v>
      </c>
      <c r="I51" s="35">
        <f t="shared" si="1"/>
        <v>72.6798594187207</v>
      </c>
    </row>
    <row r="52" spans="1:9">
      <c r="A52" s="9" t="s">
        <v>88</v>
      </c>
      <c r="B52" s="9">
        <v>65536</v>
      </c>
      <c r="C52" s="9">
        <v>1024</v>
      </c>
      <c r="D52" s="9">
        <v>16</v>
      </c>
      <c r="E52" s="11">
        <v>455.987341903274</v>
      </c>
      <c r="F52" s="11">
        <v>29640.9584242671</v>
      </c>
      <c r="G52" s="11">
        <v>17257.3262118967</v>
      </c>
      <c r="H52" s="11">
        <v>18.2248805596662</v>
      </c>
      <c r="I52" s="35">
        <f t="shared" si="1"/>
        <v>54.870044098567</v>
      </c>
    </row>
    <row r="53" spans="1:9">
      <c r="A53" s="9" t="s">
        <v>89</v>
      </c>
      <c r="B53" s="9">
        <v>65536</v>
      </c>
      <c r="C53" s="9">
        <v>1024</v>
      </c>
      <c r="D53" s="9">
        <v>32</v>
      </c>
      <c r="E53" s="11">
        <v>498.240344294022</v>
      </c>
      <c r="F53" s="11">
        <v>32387.5686304563</v>
      </c>
      <c r="G53" s="11">
        <v>32931.7768038017</v>
      </c>
      <c r="H53" s="11">
        <v>32.0246350100113</v>
      </c>
      <c r="I53" s="35">
        <f t="shared" si="1"/>
        <v>31.2259608794101</v>
      </c>
    </row>
    <row r="54" spans="1:9">
      <c r="A54" s="9" t="s">
        <v>90</v>
      </c>
      <c r="B54" s="9">
        <v>65536</v>
      </c>
      <c r="C54" s="9">
        <v>1024</v>
      </c>
      <c r="D54" s="9">
        <v>64</v>
      </c>
      <c r="E54" s="11">
        <v>528.612631231666</v>
      </c>
      <c r="F54" s="11">
        <v>34361.885923149</v>
      </c>
      <c r="G54" s="11">
        <v>40707.9111006169</v>
      </c>
      <c r="H54" s="11">
        <v>75.2203250468729</v>
      </c>
      <c r="I54" s="35">
        <f t="shared" si="1"/>
        <v>13.2942791642666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7"/>
  <sheetViews>
    <sheetView topLeftCell="A17" workbookViewId="0">
      <selection activeCell="L13" sqref="L13"/>
    </sheetView>
  </sheetViews>
  <sheetFormatPr defaultColWidth="9" defaultRowHeight="13.5"/>
  <cols>
    <col min="4" max="4" width="22.2666666666667" customWidth="1"/>
    <col min="5" max="5" width="30.2916666666667" customWidth="1"/>
    <col min="6" max="6" width="11.875" customWidth="1"/>
    <col min="7" max="7" width="15.375" customWidth="1"/>
    <col min="8" max="8" width="13.125" customWidth="1"/>
  </cols>
  <sheetData>
    <row r="1" ht="21" customHeight="1" spans="1:11">
      <c r="A1" s="75" t="s">
        <v>91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ht="14.25" customHeight="1" spans="1:11">
      <c r="A2" s="76" t="s">
        <v>92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11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</row>
    <row r="4" ht="15" customHeight="1" spans="1:11">
      <c r="A4" s="78" t="s">
        <v>93</v>
      </c>
      <c r="B4" s="78"/>
      <c r="C4" s="78"/>
      <c r="D4" s="78"/>
      <c r="E4" s="78"/>
      <c r="F4" s="78"/>
      <c r="G4" s="78"/>
      <c r="H4" s="78"/>
      <c r="I4" s="78"/>
      <c r="J4" s="78"/>
      <c r="K4" s="78"/>
    </row>
    <row r="5" ht="16.5" spans="1:11">
      <c r="A5" s="79" t="s">
        <v>94</v>
      </c>
      <c r="B5" s="79" t="s">
        <v>1</v>
      </c>
      <c r="C5" s="79" t="s">
        <v>2</v>
      </c>
      <c r="D5" s="79" t="s">
        <v>95</v>
      </c>
      <c r="E5" s="79" t="s">
        <v>96</v>
      </c>
      <c r="F5" s="79" t="s">
        <v>97</v>
      </c>
      <c r="G5" s="79" t="s">
        <v>98</v>
      </c>
      <c r="H5" s="79" t="s">
        <v>99</v>
      </c>
      <c r="I5" s="79" t="s">
        <v>100</v>
      </c>
      <c r="J5" s="79" t="s">
        <v>101</v>
      </c>
      <c r="K5" s="79" t="s">
        <v>102</v>
      </c>
    </row>
    <row r="6" ht="16.5" spans="1:11">
      <c r="A6" s="80" t="s">
        <v>103</v>
      </c>
      <c r="B6" s="80">
        <v>1024</v>
      </c>
      <c r="C6" s="80">
        <v>1024</v>
      </c>
      <c r="D6" s="80">
        <v>1</v>
      </c>
      <c r="E6" s="80">
        <v>32</v>
      </c>
      <c r="F6" s="80">
        <v>0.03</v>
      </c>
      <c r="G6" s="80">
        <v>36.6</v>
      </c>
      <c r="H6" s="80">
        <v>73.26</v>
      </c>
      <c r="I6" s="80">
        <v>294</v>
      </c>
      <c r="J6" s="80">
        <v>54.9</v>
      </c>
      <c r="K6" s="80">
        <v>18.2149</v>
      </c>
    </row>
    <row r="7" ht="16.5" spans="1:11">
      <c r="A7" s="80" t="s">
        <v>104</v>
      </c>
      <c r="B7" s="80">
        <v>1024</v>
      </c>
      <c r="C7" s="80">
        <v>1024</v>
      </c>
      <c r="D7" s="80">
        <v>2</v>
      </c>
      <c r="E7" s="80">
        <v>32</v>
      </c>
      <c r="F7" s="80">
        <v>0.06</v>
      </c>
      <c r="G7" s="80">
        <v>65.57</v>
      </c>
      <c r="H7" s="80">
        <v>131.13</v>
      </c>
      <c r="I7" s="80">
        <v>388</v>
      </c>
      <c r="J7" s="80">
        <v>30.15</v>
      </c>
      <c r="K7" s="80">
        <v>33.1675</v>
      </c>
    </row>
    <row r="8" ht="16.5" spans="1:11">
      <c r="A8" s="80" t="s">
        <v>105</v>
      </c>
      <c r="B8" s="80">
        <v>1024</v>
      </c>
      <c r="C8" s="80">
        <v>1024</v>
      </c>
      <c r="D8" s="80">
        <v>4</v>
      </c>
      <c r="E8" s="80">
        <v>32</v>
      </c>
      <c r="F8" s="80">
        <v>0.12</v>
      </c>
      <c r="G8" s="80">
        <v>120.44</v>
      </c>
      <c r="H8" s="80">
        <v>240.87</v>
      </c>
      <c r="I8" s="80">
        <v>625</v>
      </c>
      <c r="J8" s="80">
        <v>32.61</v>
      </c>
      <c r="K8" s="80">
        <v>30.6654</v>
      </c>
    </row>
    <row r="9" ht="16.5" spans="1:11">
      <c r="A9" s="80" t="s">
        <v>106</v>
      </c>
      <c r="B9" s="80">
        <v>1024</v>
      </c>
      <c r="C9" s="80">
        <v>1024</v>
      </c>
      <c r="D9" s="80">
        <v>8</v>
      </c>
      <c r="E9" s="80">
        <v>32</v>
      </c>
      <c r="F9" s="80">
        <v>0.21</v>
      </c>
      <c r="G9" s="80">
        <v>214.24</v>
      </c>
      <c r="H9" s="80">
        <v>428.49</v>
      </c>
      <c r="I9" s="80">
        <v>1162</v>
      </c>
      <c r="J9" s="80">
        <v>36.17</v>
      </c>
      <c r="K9" s="80">
        <v>27.6472</v>
      </c>
    </row>
    <row r="10" ht="16.5" spans="1:11">
      <c r="A10" s="80" t="s">
        <v>107</v>
      </c>
      <c r="B10" s="80">
        <v>1024</v>
      </c>
      <c r="C10" s="80">
        <v>1024</v>
      </c>
      <c r="D10" s="80">
        <v>16</v>
      </c>
      <c r="E10" s="80">
        <v>64</v>
      </c>
      <c r="F10" s="80">
        <v>0.36</v>
      </c>
      <c r="G10" s="80">
        <v>373.74</v>
      </c>
      <c r="H10" s="80">
        <v>747.47</v>
      </c>
      <c r="I10" s="80">
        <v>1568</v>
      </c>
      <c r="J10" s="80">
        <v>40.76</v>
      </c>
      <c r="K10" s="80">
        <v>24.5339</v>
      </c>
    </row>
    <row r="11" ht="16.5" spans="1:11">
      <c r="A11" s="80" t="s">
        <v>108</v>
      </c>
      <c r="B11" s="80">
        <v>1024</v>
      </c>
      <c r="C11" s="80">
        <v>1024</v>
      </c>
      <c r="D11" s="80">
        <v>32</v>
      </c>
      <c r="E11" s="80">
        <v>128</v>
      </c>
      <c r="F11" s="80">
        <v>0.6</v>
      </c>
      <c r="G11" s="80">
        <v>616.39</v>
      </c>
      <c r="H11" s="80">
        <v>1232.79</v>
      </c>
      <c r="I11" s="80">
        <v>2596</v>
      </c>
      <c r="J11" s="80">
        <v>48.8</v>
      </c>
      <c r="K11" s="80">
        <v>20.4918</v>
      </c>
    </row>
    <row r="12" ht="16.5" spans="1:11">
      <c r="A12" s="80" t="s">
        <v>109</v>
      </c>
      <c r="B12" s="80">
        <v>1024</v>
      </c>
      <c r="C12" s="80">
        <v>1024</v>
      </c>
      <c r="D12" s="80">
        <v>64</v>
      </c>
      <c r="E12" s="80">
        <v>256</v>
      </c>
      <c r="F12" s="80">
        <v>0.6</v>
      </c>
      <c r="G12" s="80">
        <v>613.29</v>
      </c>
      <c r="H12" s="80">
        <v>1226.58</v>
      </c>
      <c r="I12" s="80">
        <v>48071</v>
      </c>
      <c r="J12" s="80">
        <v>50.19</v>
      </c>
      <c r="K12" s="80">
        <v>19.9243</v>
      </c>
    </row>
    <row r="13" ht="16.5" spans="1:11">
      <c r="A13" s="80" t="s">
        <v>110</v>
      </c>
      <c r="B13" s="80">
        <v>1024</v>
      </c>
      <c r="C13" s="80">
        <v>1024</v>
      </c>
      <c r="D13" s="80">
        <v>128</v>
      </c>
      <c r="E13" s="80">
        <v>512</v>
      </c>
      <c r="F13" s="80">
        <v>0.59</v>
      </c>
      <c r="G13" s="80">
        <v>607.55</v>
      </c>
      <c r="H13" s="80">
        <v>1215.1</v>
      </c>
      <c r="I13" s="80">
        <v>142385</v>
      </c>
      <c r="J13" s="80">
        <v>51.53</v>
      </c>
      <c r="K13" s="80">
        <v>19.4062</v>
      </c>
    </row>
    <row r="14" ht="16.5" spans="1:11">
      <c r="A14" s="80" t="s">
        <v>111</v>
      </c>
      <c r="B14" s="80">
        <v>1024</v>
      </c>
      <c r="C14" s="80">
        <v>1024</v>
      </c>
      <c r="D14" s="80">
        <v>256</v>
      </c>
      <c r="E14" s="80">
        <v>1024</v>
      </c>
      <c r="F14" s="80">
        <v>1.19</v>
      </c>
      <c r="G14" s="80">
        <v>613.33</v>
      </c>
      <c r="H14" s="80">
        <v>1220.54</v>
      </c>
      <c r="I14" s="80">
        <v>51225</v>
      </c>
      <c r="J14" s="80">
        <v>348.44</v>
      </c>
      <c r="K14" s="80">
        <v>2.8699</v>
      </c>
    </row>
    <row r="15" ht="16.5" spans="1:11">
      <c r="A15" s="80" t="s">
        <v>112</v>
      </c>
      <c r="B15" s="80">
        <v>1024</v>
      </c>
      <c r="C15" s="80">
        <v>1024</v>
      </c>
      <c r="D15" s="80">
        <v>512</v>
      </c>
      <c r="E15" s="80">
        <v>2048</v>
      </c>
      <c r="F15" s="80">
        <v>1.22</v>
      </c>
      <c r="G15" s="80">
        <v>628.37</v>
      </c>
      <c r="H15" s="80">
        <v>1246.94</v>
      </c>
      <c r="I15" s="80">
        <v>206257</v>
      </c>
      <c r="J15" s="80">
        <v>381.56</v>
      </c>
      <c r="K15" s="80">
        <v>2.6208</v>
      </c>
    </row>
    <row r="16" spans="1:11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77"/>
    </row>
    <row r="17" ht="15" customHeight="1" spans="1:11">
      <c r="A17" s="78" t="s">
        <v>113</v>
      </c>
      <c r="B17" s="78"/>
      <c r="C17" s="78"/>
      <c r="D17" s="78"/>
      <c r="E17" s="78"/>
      <c r="F17" s="78"/>
      <c r="G17" s="78"/>
      <c r="H17" s="78"/>
      <c r="I17" s="78"/>
      <c r="J17" s="78"/>
      <c r="K17" s="78"/>
    </row>
    <row r="18" ht="16.5" spans="1:11">
      <c r="A18" s="79" t="s">
        <v>94</v>
      </c>
      <c r="B18" s="79" t="s">
        <v>1</v>
      </c>
      <c r="C18" s="79" t="s">
        <v>2</v>
      </c>
      <c r="D18" s="79" t="s">
        <v>95</v>
      </c>
      <c r="E18" s="79" t="s">
        <v>96</v>
      </c>
      <c r="F18" s="79" t="s">
        <v>97</v>
      </c>
      <c r="G18" s="79" t="s">
        <v>98</v>
      </c>
      <c r="H18" s="79" t="s">
        <v>99</v>
      </c>
      <c r="I18" s="79" t="s">
        <v>100</v>
      </c>
      <c r="J18" s="79" t="s">
        <v>101</v>
      </c>
      <c r="K18" s="79" t="s">
        <v>102</v>
      </c>
    </row>
    <row r="19" ht="16.5" spans="1:11">
      <c r="A19" s="80" t="s">
        <v>114</v>
      </c>
      <c r="B19" s="80">
        <v>8192</v>
      </c>
      <c r="C19" s="80">
        <v>1024</v>
      </c>
      <c r="D19" s="80">
        <v>1</v>
      </c>
      <c r="E19" s="80">
        <v>32</v>
      </c>
      <c r="F19" s="80">
        <v>0.1</v>
      </c>
      <c r="G19" s="80">
        <v>104.95</v>
      </c>
      <c r="H19" s="80">
        <v>954.99</v>
      </c>
      <c r="I19" s="80">
        <v>1098</v>
      </c>
      <c r="J19" s="80">
        <v>54.77</v>
      </c>
      <c r="K19" s="80">
        <v>18.2582</v>
      </c>
    </row>
    <row r="20" ht="16.5" spans="1:11">
      <c r="A20" s="80" t="s">
        <v>115</v>
      </c>
      <c r="B20" s="80">
        <v>8192</v>
      </c>
      <c r="C20" s="80">
        <v>1024</v>
      </c>
      <c r="D20" s="80">
        <v>2</v>
      </c>
      <c r="E20" s="80">
        <v>32</v>
      </c>
      <c r="F20" s="80">
        <v>0.06</v>
      </c>
      <c r="G20" s="80">
        <v>59</v>
      </c>
      <c r="H20" s="80">
        <v>531.03</v>
      </c>
      <c r="I20" s="80">
        <v>2488</v>
      </c>
      <c r="J20" s="80">
        <v>31.49</v>
      </c>
      <c r="K20" s="80">
        <v>31.7561</v>
      </c>
    </row>
    <row r="21" ht="16.5" spans="1:11">
      <c r="A21" s="80" t="s">
        <v>116</v>
      </c>
      <c r="B21" s="80">
        <v>8192</v>
      </c>
      <c r="C21" s="80">
        <v>1024</v>
      </c>
      <c r="D21" s="80">
        <v>4</v>
      </c>
      <c r="E21" s="80">
        <v>32</v>
      </c>
      <c r="F21" s="80">
        <v>0.1</v>
      </c>
      <c r="G21" s="80">
        <v>100.68</v>
      </c>
      <c r="H21" s="80">
        <v>906.14</v>
      </c>
      <c r="I21" s="80">
        <v>3152</v>
      </c>
      <c r="J21" s="80">
        <v>36.65</v>
      </c>
      <c r="K21" s="80">
        <v>27.2851</v>
      </c>
    </row>
    <row r="22" ht="16.5" spans="1:11">
      <c r="A22" s="80" t="s">
        <v>117</v>
      </c>
      <c r="B22" s="80">
        <v>8192</v>
      </c>
      <c r="C22" s="80">
        <v>1024</v>
      </c>
      <c r="D22" s="80">
        <v>8</v>
      </c>
      <c r="E22" s="80">
        <v>32</v>
      </c>
      <c r="F22" s="80">
        <v>0.15</v>
      </c>
      <c r="G22" s="80">
        <v>155.05</v>
      </c>
      <c r="H22" s="80">
        <v>1395.42</v>
      </c>
      <c r="I22" s="80">
        <v>5593</v>
      </c>
      <c r="J22" s="80">
        <v>46.01</v>
      </c>
      <c r="K22" s="80">
        <v>21.7344</v>
      </c>
    </row>
    <row r="23" ht="16.5" spans="1:11">
      <c r="A23" s="80" t="s">
        <v>118</v>
      </c>
      <c r="B23" s="80">
        <v>8192</v>
      </c>
      <c r="C23" s="80">
        <v>1024</v>
      </c>
      <c r="D23" s="80">
        <v>16</v>
      </c>
      <c r="E23" s="80">
        <v>64</v>
      </c>
      <c r="F23" s="80">
        <v>0.22</v>
      </c>
      <c r="G23" s="80">
        <v>222.09</v>
      </c>
      <c r="H23" s="80">
        <v>1998.85</v>
      </c>
      <c r="I23" s="80">
        <v>14448</v>
      </c>
      <c r="J23" s="80">
        <v>57.68</v>
      </c>
      <c r="K23" s="80">
        <v>17.337</v>
      </c>
    </row>
    <row r="24" ht="16.5" spans="1:11">
      <c r="A24" s="80" t="s">
        <v>119</v>
      </c>
      <c r="B24" s="80">
        <v>8192</v>
      </c>
      <c r="C24" s="80">
        <v>1024</v>
      </c>
      <c r="D24" s="80">
        <v>32</v>
      </c>
      <c r="E24" s="80">
        <v>128</v>
      </c>
      <c r="F24" s="80">
        <v>0.28</v>
      </c>
      <c r="G24" s="80">
        <v>287.23</v>
      </c>
      <c r="H24" s="80">
        <v>2585.11</v>
      </c>
      <c r="I24" s="80">
        <v>19369</v>
      </c>
      <c r="J24" s="80">
        <v>92.08</v>
      </c>
      <c r="K24" s="80">
        <v>10.8601</v>
      </c>
    </row>
    <row r="25" ht="16.5" spans="1:11">
      <c r="A25" s="80" t="s">
        <v>120</v>
      </c>
      <c r="B25" s="80">
        <v>8192</v>
      </c>
      <c r="C25" s="80">
        <v>1024</v>
      </c>
      <c r="D25" s="80">
        <v>64</v>
      </c>
      <c r="E25" s="80">
        <v>256</v>
      </c>
      <c r="F25" s="80">
        <v>0.28</v>
      </c>
      <c r="G25" s="80">
        <v>286.03</v>
      </c>
      <c r="H25" s="80">
        <v>2574.29</v>
      </c>
      <c r="I25" s="80">
        <v>112594</v>
      </c>
      <c r="J25" s="80">
        <v>102.95</v>
      </c>
      <c r="K25" s="80">
        <v>9.7135</v>
      </c>
    </row>
    <row r="26" ht="16.5" spans="1:11">
      <c r="A26" s="80" t="s">
        <v>121</v>
      </c>
      <c r="B26" s="80">
        <v>8192</v>
      </c>
      <c r="C26" s="80">
        <v>1024</v>
      </c>
      <c r="D26" s="80">
        <v>128</v>
      </c>
      <c r="E26" s="80">
        <v>512</v>
      </c>
      <c r="F26" s="80">
        <v>0.28</v>
      </c>
      <c r="G26" s="80">
        <v>287.29</v>
      </c>
      <c r="H26" s="80">
        <v>2585.57</v>
      </c>
      <c r="I26" s="80">
        <v>311441</v>
      </c>
      <c r="J26" s="80">
        <v>105.44</v>
      </c>
      <c r="K26" s="80">
        <v>9.4841</v>
      </c>
    </row>
    <row r="27" ht="16.5" spans="1:11">
      <c r="A27" s="80" t="s">
        <v>122</v>
      </c>
      <c r="B27" s="80">
        <v>8192</v>
      </c>
      <c r="C27" s="80">
        <v>1024</v>
      </c>
      <c r="D27" s="80">
        <v>256</v>
      </c>
      <c r="E27" s="80">
        <v>1024</v>
      </c>
      <c r="F27" s="80">
        <v>0.58</v>
      </c>
      <c r="G27" s="80">
        <v>301.89</v>
      </c>
      <c r="H27" s="80">
        <v>2749.69</v>
      </c>
      <c r="I27" s="80">
        <v>160627</v>
      </c>
      <c r="J27" s="80">
        <v>582.68</v>
      </c>
      <c r="K27" s="80">
        <v>1.7162</v>
      </c>
    </row>
    <row r="28" spans="1:11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</row>
    <row r="29" ht="15" customHeight="1" spans="1:11">
      <c r="A29" s="78" t="s">
        <v>123</v>
      </c>
      <c r="B29" s="78"/>
      <c r="C29" s="78"/>
      <c r="D29" s="78"/>
      <c r="E29" s="78"/>
      <c r="F29" s="78"/>
      <c r="G29" s="78"/>
      <c r="H29" s="78"/>
      <c r="I29" s="78"/>
      <c r="J29" s="78"/>
      <c r="K29" s="78"/>
    </row>
    <row r="30" ht="16.5" spans="1:11">
      <c r="A30" s="79" t="s">
        <v>94</v>
      </c>
      <c r="B30" s="79" t="s">
        <v>1</v>
      </c>
      <c r="C30" s="79" t="s">
        <v>2</v>
      </c>
      <c r="D30" s="79" t="s">
        <v>95</v>
      </c>
      <c r="E30" s="79" t="s">
        <v>96</v>
      </c>
      <c r="F30" s="79" t="s">
        <v>97</v>
      </c>
      <c r="G30" s="79" t="s">
        <v>98</v>
      </c>
      <c r="H30" s="79" t="s">
        <v>99</v>
      </c>
      <c r="I30" s="79" t="s">
        <v>100</v>
      </c>
      <c r="J30" s="79" t="s">
        <v>101</v>
      </c>
      <c r="K30" s="79" t="s">
        <v>102</v>
      </c>
    </row>
    <row r="31" ht="16.5" spans="1:11">
      <c r="A31" s="80" t="s">
        <v>124</v>
      </c>
      <c r="B31" s="80">
        <v>32768</v>
      </c>
      <c r="C31" s="80">
        <v>1024</v>
      </c>
      <c r="D31" s="80">
        <v>1</v>
      </c>
      <c r="E31" s="80">
        <v>32</v>
      </c>
      <c r="F31" s="80">
        <v>0.05</v>
      </c>
      <c r="G31" s="80">
        <v>49.27</v>
      </c>
      <c r="H31" s="80">
        <v>1649.16</v>
      </c>
      <c r="I31" s="80">
        <v>4249</v>
      </c>
      <c r="J31" s="80">
        <v>54.84</v>
      </c>
      <c r="K31" s="80">
        <v>18.2349</v>
      </c>
    </row>
    <row r="32" ht="16.5" spans="1:11">
      <c r="A32" s="80" t="s">
        <v>125</v>
      </c>
      <c r="B32" s="80">
        <v>32768</v>
      </c>
      <c r="C32" s="80">
        <v>1024</v>
      </c>
      <c r="D32" s="80">
        <v>2</v>
      </c>
      <c r="E32" s="80">
        <v>32</v>
      </c>
      <c r="F32" s="80">
        <v>0.09</v>
      </c>
      <c r="G32" s="80">
        <v>87.08</v>
      </c>
      <c r="H32" s="80">
        <v>2914.38</v>
      </c>
      <c r="I32" s="80">
        <v>4299</v>
      </c>
      <c r="J32" s="80">
        <v>62.17</v>
      </c>
      <c r="K32" s="80">
        <v>16.0849</v>
      </c>
    </row>
    <row r="33" ht="16.5" spans="1:11">
      <c r="A33" s="80" t="s">
        <v>126</v>
      </c>
      <c r="B33" s="80">
        <v>32768</v>
      </c>
      <c r="C33" s="80">
        <v>1024</v>
      </c>
      <c r="D33" s="80">
        <v>4</v>
      </c>
      <c r="E33" s="80">
        <v>32</v>
      </c>
      <c r="F33" s="80">
        <v>0.14</v>
      </c>
      <c r="G33" s="80">
        <v>138.64</v>
      </c>
      <c r="H33" s="80">
        <v>4639.97</v>
      </c>
      <c r="I33" s="80">
        <v>4739</v>
      </c>
      <c r="J33" s="80">
        <v>78.74</v>
      </c>
      <c r="K33" s="80">
        <v>12.7</v>
      </c>
    </row>
    <row r="34" ht="16.5" spans="1:11">
      <c r="A34" s="80" t="s">
        <v>127</v>
      </c>
      <c r="B34" s="80">
        <v>32768</v>
      </c>
      <c r="C34" s="80">
        <v>1024</v>
      </c>
      <c r="D34" s="80">
        <v>8</v>
      </c>
      <c r="E34" s="80">
        <v>32</v>
      </c>
      <c r="F34" s="80">
        <v>0.19</v>
      </c>
      <c r="G34" s="80">
        <v>192.48</v>
      </c>
      <c r="H34" s="80">
        <v>6440.99</v>
      </c>
      <c r="I34" s="80">
        <v>6291</v>
      </c>
      <c r="J34" s="80">
        <v>116.09</v>
      </c>
      <c r="K34" s="80">
        <v>8.614</v>
      </c>
    </row>
    <row r="35" ht="16.5" spans="1:11">
      <c r="A35" s="80" t="s">
        <v>128</v>
      </c>
      <c r="B35" s="80">
        <v>32768</v>
      </c>
      <c r="C35" s="80">
        <v>1024</v>
      </c>
      <c r="D35" s="80">
        <v>16</v>
      </c>
      <c r="E35" s="80">
        <v>64</v>
      </c>
      <c r="F35" s="80">
        <v>0.16</v>
      </c>
      <c r="G35" s="80">
        <v>163.77</v>
      </c>
      <c r="H35" s="80">
        <v>2783.98</v>
      </c>
      <c r="I35" s="80">
        <v>11094</v>
      </c>
      <c r="J35" s="80">
        <v>203.02</v>
      </c>
      <c r="K35" s="80">
        <v>4.9256</v>
      </c>
    </row>
    <row r="36" ht="16.5" spans="1:11">
      <c r="A36" s="80" t="s">
        <v>129</v>
      </c>
      <c r="B36" s="80">
        <v>32768</v>
      </c>
      <c r="C36" s="80">
        <v>1024</v>
      </c>
      <c r="D36" s="80">
        <v>32</v>
      </c>
      <c r="E36" s="80">
        <v>128</v>
      </c>
      <c r="F36" s="80">
        <v>0.16</v>
      </c>
      <c r="G36" s="80">
        <v>161.41</v>
      </c>
      <c r="H36" s="80">
        <v>2652.8</v>
      </c>
      <c r="I36" s="80">
        <v>18269</v>
      </c>
      <c r="J36" s="80">
        <v>324.08</v>
      </c>
      <c r="K36" s="80">
        <v>3.0857</v>
      </c>
    </row>
    <row r="37" ht="16.5" spans="1:11">
      <c r="A37" s="80" t="s">
        <v>130</v>
      </c>
      <c r="B37" s="80">
        <v>32768</v>
      </c>
      <c r="C37" s="80">
        <v>1024</v>
      </c>
      <c r="D37" s="80">
        <v>64</v>
      </c>
      <c r="E37" s="80">
        <v>256</v>
      </c>
      <c r="F37" s="80">
        <v>0.15</v>
      </c>
      <c r="G37" s="80">
        <v>156.23</v>
      </c>
      <c r="H37" s="80">
        <v>2541.46</v>
      </c>
      <c r="I37" s="80">
        <v>32335</v>
      </c>
      <c r="J37" s="80">
        <v>620.6</v>
      </c>
      <c r="K37" s="80">
        <v>1.6113</v>
      </c>
    </row>
    <row r="38" spans="1:11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</row>
    <row r="39" ht="15" customHeight="1" spans="1:11">
      <c r="A39" s="78" t="s">
        <v>131</v>
      </c>
      <c r="B39" s="78"/>
      <c r="C39" s="78"/>
      <c r="D39" s="78"/>
      <c r="E39" s="78"/>
      <c r="F39" s="78"/>
      <c r="G39" s="78"/>
      <c r="H39" s="78"/>
      <c r="I39" s="78"/>
      <c r="J39" s="78"/>
      <c r="K39" s="78"/>
    </row>
    <row r="40" ht="16.5" spans="1:11">
      <c r="A40" s="79" t="s">
        <v>94</v>
      </c>
      <c r="B40" s="79" t="s">
        <v>1</v>
      </c>
      <c r="C40" s="79" t="s">
        <v>2</v>
      </c>
      <c r="D40" s="79" t="s">
        <v>95</v>
      </c>
      <c r="E40" s="79" t="s">
        <v>96</v>
      </c>
      <c r="F40" s="79" t="s">
        <v>97</v>
      </c>
      <c r="G40" s="79" t="s">
        <v>98</v>
      </c>
      <c r="H40" s="79" t="s">
        <v>99</v>
      </c>
      <c r="I40" s="79" t="s">
        <v>100</v>
      </c>
      <c r="J40" s="79" t="s">
        <v>101</v>
      </c>
      <c r="K40" s="79" t="s">
        <v>102</v>
      </c>
    </row>
    <row r="41" ht="16.5" spans="1:11">
      <c r="A41" s="80" t="s">
        <v>132</v>
      </c>
      <c r="B41" s="80">
        <v>1024</v>
      </c>
      <c r="C41" s="80">
        <v>16384</v>
      </c>
      <c r="D41" s="80">
        <v>1</v>
      </c>
      <c r="E41" s="80">
        <v>16</v>
      </c>
      <c r="F41" s="80">
        <v>0.01</v>
      </c>
      <c r="G41" s="80">
        <v>20.34</v>
      </c>
      <c r="H41" s="80">
        <v>22.88</v>
      </c>
      <c r="I41" s="80">
        <v>293</v>
      </c>
      <c r="J41" s="80">
        <v>55.08</v>
      </c>
      <c r="K41" s="80">
        <v>18.1554</v>
      </c>
    </row>
    <row r="42" ht="16.5" spans="1:11">
      <c r="A42" s="80" t="s">
        <v>133</v>
      </c>
      <c r="B42" s="80">
        <v>1024</v>
      </c>
      <c r="C42" s="80">
        <v>16384</v>
      </c>
      <c r="D42" s="80">
        <v>2</v>
      </c>
      <c r="E42" s="80">
        <v>8</v>
      </c>
      <c r="F42" s="80">
        <v>0</v>
      </c>
      <c r="G42" s="80">
        <v>68.17</v>
      </c>
      <c r="H42" s="80">
        <v>72.44</v>
      </c>
      <c r="I42" s="80">
        <v>439</v>
      </c>
      <c r="J42" s="80">
        <v>29.31</v>
      </c>
      <c r="K42" s="80">
        <v>34.118</v>
      </c>
    </row>
    <row r="43" ht="16.5" spans="1:11">
      <c r="A43" s="80" t="s">
        <v>134</v>
      </c>
      <c r="B43" s="80">
        <v>1024</v>
      </c>
      <c r="C43" s="80">
        <v>16384</v>
      </c>
      <c r="D43" s="80">
        <v>4</v>
      </c>
      <c r="E43" s="80">
        <v>16</v>
      </c>
      <c r="F43" s="80">
        <v>0.01</v>
      </c>
      <c r="G43" s="80">
        <v>128.8</v>
      </c>
      <c r="H43" s="80">
        <v>136.86</v>
      </c>
      <c r="I43" s="80">
        <v>649</v>
      </c>
      <c r="J43" s="80">
        <v>30.99</v>
      </c>
      <c r="K43" s="80">
        <v>32.2685</v>
      </c>
    </row>
    <row r="44" ht="16.5" spans="1:11">
      <c r="A44" s="80" t="s">
        <v>135</v>
      </c>
      <c r="B44" s="80">
        <v>1024</v>
      </c>
      <c r="C44" s="80">
        <v>16384</v>
      </c>
      <c r="D44" s="80">
        <v>8</v>
      </c>
      <c r="E44" s="80">
        <v>16</v>
      </c>
      <c r="F44" s="80">
        <v>0.01</v>
      </c>
      <c r="G44" s="80">
        <v>233.23</v>
      </c>
      <c r="H44" s="80">
        <v>247.81</v>
      </c>
      <c r="I44" s="80">
        <v>1247</v>
      </c>
      <c r="J44" s="80">
        <v>34.22</v>
      </c>
      <c r="K44" s="80">
        <v>29.2227</v>
      </c>
    </row>
    <row r="45" ht="16.5" spans="1:11">
      <c r="A45" s="80" t="s">
        <v>136</v>
      </c>
      <c r="B45" s="80">
        <v>1024</v>
      </c>
      <c r="C45" s="80">
        <v>16384</v>
      </c>
      <c r="D45" s="80">
        <v>16</v>
      </c>
      <c r="E45" s="80">
        <v>32</v>
      </c>
      <c r="F45" s="80">
        <v>0.03</v>
      </c>
      <c r="G45" s="80">
        <v>418.43</v>
      </c>
      <c r="H45" s="80">
        <v>444.58</v>
      </c>
      <c r="I45" s="80">
        <v>2336</v>
      </c>
      <c r="J45" s="80">
        <v>38.03</v>
      </c>
      <c r="K45" s="80">
        <v>26.295</v>
      </c>
    </row>
    <row r="46" ht="16.5" spans="1:11">
      <c r="A46" s="80" t="s">
        <v>137</v>
      </c>
      <c r="B46" s="80">
        <v>1024</v>
      </c>
      <c r="C46" s="80">
        <v>16384</v>
      </c>
      <c r="D46" s="80">
        <v>32</v>
      </c>
      <c r="E46" s="80">
        <v>64</v>
      </c>
      <c r="F46" s="80">
        <v>0.05</v>
      </c>
      <c r="G46" s="80">
        <v>739.32</v>
      </c>
      <c r="H46" s="80">
        <v>785.53</v>
      </c>
      <c r="I46" s="80">
        <v>4050</v>
      </c>
      <c r="J46" s="80">
        <v>42.98</v>
      </c>
      <c r="K46" s="80">
        <v>23.2666</v>
      </c>
    </row>
    <row r="47" ht="16.5" spans="1:11">
      <c r="A47" s="81" t="s">
        <v>138</v>
      </c>
      <c r="B47" s="81">
        <v>1024</v>
      </c>
      <c r="C47" s="81">
        <v>16384</v>
      </c>
      <c r="D47" s="81">
        <v>64</v>
      </c>
      <c r="E47" s="81">
        <v>128</v>
      </c>
      <c r="F47" s="81" t="s">
        <v>139</v>
      </c>
      <c r="G47" s="81" t="s">
        <v>139</v>
      </c>
      <c r="H47" s="81" t="s">
        <v>139</v>
      </c>
      <c r="I47" s="81" t="s">
        <v>139</v>
      </c>
      <c r="J47" s="81" t="s">
        <v>139</v>
      </c>
      <c r="K47" s="81" t="s">
        <v>139</v>
      </c>
    </row>
    <row r="48" spans="1:11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</row>
    <row r="49" ht="15" customHeight="1" spans="1:11">
      <c r="A49" s="78" t="s">
        <v>140</v>
      </c>
      <c r="B49" s="78"/>
      <c r="C49" s="78"/>
      <c r="D49" s="78"/>
      <c r="E49" s="78"/>
      <c r="F49" s="78"/>
      <c r="G49" s="78"/>
      <c r="H49" s="78"/>
      <c r="I49" s="78"/>
      <c r="J49" s="78"/>
      <c r="K49" s="78"/>
    </row>
    <row r="50" ht="16.5" spans="1:11">
      <c r="A50" s="79" t="s">
        <v>94</v>
      </c>
      <c r="B50" s="79" t="s">
        <v>1</v>
      </c>
      <c r="C50" s="79" t="s">
        <v>2</v>
      </c>
      <c r="D50" s="79" t="s">
        <v>95</v>
      </c>
      <c r="E50" s="79" t="s">
        <v>96</v>
      </c>
      <c r="F50" s="79" t="s">
        <v>97</v>
      </c>
      <c r="G50" s="79" t="s">
        <v>98</v>
      </c>
      <c r="H50" s="79" t="s">
        <v>99</v>
      </c>
      <c r="I50" s="79" t="s">
        <v>100</v>
      </c>
      <c r="J50" s="79" t="s">
        <v>101</v>
      </c>
      <c r="K50" s="79" t="s">
        <v>102</v>
      </c>
    </row>
    <row r="51" ht="16.5" spans="1:11">
      <c r="A51" s="81" t="s">
        <v>141</v>
      </c>
      <c r="B51" s="81">
        <v>8192</v>
      </c>
      <c r="C51" s="81">
        <v>16384</v>
      </c>
      <c r="D51" s="81">
        <v>1</v>
      </c>
      <c r="E51" s="81">
        <v>16</v>
      </c>
      <c r="F51" s="81" t="s">
        <v>139</v>
      </c>
      <c r="G51" s="81" t="s">
        <v>139</v>
      </c>
      <c r="H51" s="81" t="s">
        <v>139</v>
      </c>
      <c r="I51" s="81" t="s">
        <v>139</v>
      </c>
      <c r="J51" s="81" t="s">
        <v>139</v>
      </c>
      <c r="K51" s="81" t="s">
        <v>139</v>
      </c>
    </row>
    <row r="52" ht="16.5" spans="1:11">
      <c r="A52" s="80" t="s">
        <v>142</v>
      </c>
      <c r="B52" s="80">
        <v>8192</v>
      </c>
      <c r="C52" s="80">
        <v>16384</v>
      </c>
      <c r="D52" s="80">
        <v>2</v>
      </c>
      <c r="E52" s="80">
        <v>8</v>
      </c>
      <c r="F52" s="80">
        <v>0</v>
      </c>
      <c r="G52" s="80">
        <v>67.98</v>
      </c>
      <c r="H52" s="80">
        <v>101.97</v>
      </c>
      <c r="I52" s="80">
        <v>3032</v>
      </c>
      <c r="J52" s="80">
        <v>29.24</v>
      </c>
      <c r="K52" s="80">
        <v>34.1997</v>
      </c>
    </row>
    <row r="53" ht="16.5" spans="1:11">
      <c r="A53" s="80" t="s">
        <v>143</v>
      </c>
      <c r="B53" s="80">
        <v>8192</v>
      </c>
      <c r="C53" s="80">
        <v>16384</v>
      </c>
      <c r="D53" s="80">
        <v>4</v>
      </c>
      <c r="E53" s="80">
        <v>16</v>
      </c>
      <c r="F53" s="80">
        <v>0.01</v>
      </c>
      <c r="G53" s="80">
        <v>126.69</v>
      </c>
      <c r="H53" s="80">
        <v>190.04</v>
      </c>
      <c r="I53" s="80">
        <v>4251</v>
      </c>
      <c r="J53" s="80">
        <v>31.3</v>
      </c>
      <c r="K53" s="80">
        <v>31.9489</v>
      </c>
    </row>
    <row r="54" ht="16.5" spans="1:11">
      <c r="A54" s="80" t="s">
        <v>144</v>
      </c>
      <c r="B54" s="80">
        <v>8192</v>
      </c>
      <c r="C54" s="80">
        <v>16384</v>
      </c>
      <c r="D54" s="80">
        <v>8</v>
      </c>
      <c r="E54" s="80">
        <v>16</v>
      </c>
      <c r="F54" s="80">
        <v>0.01</v>
      </c>
      <c r="G54" s="80">
        <v>226.6</v>
      </c>
      <c r="H54" s="80">
        <v>339.9</v>
      </c>
      <c r="I54" s="80">
        <v>7507</v>
      </c>
      <c r="J54" s="80">
        <v>34.84</v>
      </c>
      <c r="K54" s="80">
        <v>28.7026</v>
      </c>
    </row>
    <row r="55" ht="16.5" spans="1:11">
      <c r="A55" s="80" t="s">
        <v>145</v>
      </c>
      <c r="B55" s="80">
        <v>8192</v>
      </c>
      <c r="C55" s="80">
        <v>16384</v>
      </c>
      <c r="D55" s="80">
        <v>16</v>
      </c>
      <c r="E55" s="80">
        <v>32</v>
      </c>
      <c r="F55" s="80">
        <v>0.02</v>
      </c>
      <c r="G55" s="80">
        <v>400</v>
      </c>
      <c r="H55" s="80">
        <v>600</v>
      </c>
      <c r="I55" s="80">
        <v>16511</v>
      </c>
      <c r="J55" s="80">
        <v>38.99</v>
      </c>
      <c r="K55" s="80">
        <v>25.6476</v>
      </c>
    </row>
    <row r="56" ht="16.5" spans="1:11">
      <c r="A56" s="80" t="s">
        <v>146</v>
      </c>
      <c r="B56" s="80">
        <v>8192</v>
      </c>
      <c r="C56" s="80">
        <v>16384</v>
      </c>
      <c r="D56" s="80">
        <v>32</v>
      </c>
      <c r="E56" s="80">
        <v>64</v>
      </c>
      <c r="F56" s="80">
        <v>0.05</v>
      </c>
      <c r="G56" s="80">
        <v>419.1</v>
      </c>
      <c r="H56" s="80">
        <v>652.4</v>
      </c>
      <c r="I56" s="80">
        <v>10546</v>
      </c>
      <c r="J56" s="80">
        <v>99.5</v>
      </c>
      <c r="K56" s="80">
        <v>10.0503</v>
      </c>
    </row>
    <row r="57" spans="1:11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</row>
  </sheetData>
  <sheetProtection formatCells="0" formatColumns="0" formatRows="0" insertRows="0" insertColumns="0" insertHyperlinks="0" deleteColumns="0" deleteRows="0" sort="0" autoFilter="0" pivotTables="0"/>
  <mergeCells count="7">
    <mergeCell ref="A1:K1"/>
    <mergeCell ref="A2:K2"/>
    <mergeCell ref="A4:K4"/>
    <mergeCell ref="A17:K17"/>
    <mergeCell ref="A29:K29"/>
    <mergeCell ref="A39:K39"/>
    <mergeCell ref="A49:K49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8"/>
  <sheetViews>
    <sheetView workbookViewId="0">
      <selection activeCell="H32" sqref="H32:I35"/>
    </sheetView>
  </sheetViews>
  <sheetFormatPr defaultColWidth="9.23333333333333" defaultRowHeight="13.5"/>
  <sheetData>
    <row r="1" ht="40.5" spans="1:10">
      <c r="A1" s="13" t="s">
        <v>1</v>
      </c>
      <c r="B1" s="13" t="s">
        <v>2</v>
      </c>
      <c r="C1" s="13" t="s">
        <v>3</v>
      </c>
      <c r="D1" s="13" t="s">
        <v>4</v>
      </c>
      <c r="E1" s="63" t="s">
        <v>147</v>
      </c>
      <c r="F1" s="13" t="s">
        <v>6</v>
      </c>
      <c r="G1" s="13" t="s">
        <v>7</v>
      </c>
      <c r="H1" s="13" t="s">
        <v>8</v>
      </c>
      <c r="I1" s="13" t="s">
        <v>9</v>
      </c>
      <c r="J1" s="63" t="s">
        <v>148</v>
      </c>
    </row>
    <row r="2" spans="1:10">
      <c r="A2" s="67">
        <v>1024</v>
      </c>
      <c r="B2" s="67">
        <v>1024</v>
      </c>
      <c r="C2" s="67">
        <v>1</v>
      </c>
      <c r="D2" s="67">
        <v>50</v>
      </c>
      <c r="E2" s="68">
        <v>12.209</v>
      </c>
      <c r="F2" s="69">
        <v>83.87</v>
      </c>
      <c r="G2" s="69">
        <v>168.07</v>
      </c>
      <c r="H2" s="69">
        <v>166.75</v>
      </c>
      <c r="I2" s="69">
        <v>11.77</v>
      </c>
      <c r="J2" s="70">
        <v>0.0819</v>
      </c>
    </row>
    <row r="3" spans="1:10">
      <c r="A3" s="67">
        <v>1024</v>
      </c>
      <c r="B3" s="67">
        <v>1024</v>
      </c>
      <c r="C3" s="67">
        <v>4</v>
      </c>
      <c r="D3" s="67">
        <v>100</v>
      </c>
      <c r="E3" s="68">
        <v>3.656</v>
      </c>
      <c r="F3" s="69">
        <v>280.07</v>
      </c>
      <c r="G3" s="69">
        <v>561.23</v>
      </c>
      <c r="H3" s="69">
        <v>213.41</v>
      </c>
      <c r="I3" s="69">
        <v>14.04</v>
      </c>
      <c r="J3" s="70">
        <v>0.2735</v>
      </c>
    </row>
    <row r="4" spans="1:10">
      <c r="A4" s="67">
        <v>1024</v>
      </c>
      <c r="B4" s="67">
        <v>1024</v>
      </c>
      <c r="C4" s="67">
        <v>8</v>
      </c>
      <c r="D4" s="67">
        <v>80</v>
      </c>
      <c r="E4" s="68">
        <v>2.255</v>
      </c>
      <c r="F4" s="69">
        <v>454.09</v>
      </c>
      <c r="G4" s="69">
        <v>909.95</v>
      </c>
      <c r="H4" s="69">
        <v>280.17</v>
      </c>
      <c r="I4" s="69">
        <v>16.94</v>
      </c>
      <c r="J4" s="70">
        <v>0.4434</v>
      </c>
    </row>
    <row r="5" spans="1:10">
      <c r="A5" s="67">
        <v>1024</v>
      </c>
      <c r="B5" s="67">
        <v>1024</v>
      </c>
      <c r="C5" s="67">
        <v>16</v>
      </c>
      <c r="D5" s="67">
        <v>160</v>
      </c>
      <c r="E5" s="68">
        <v>1.329</v>
      </c>
      <c r="F5" s="69">
        <v>770.52</v>
      </c>
      <c r="G5" s="69">
        <v>1544.06</v>
      </c>
      <c r="H5" s="69">
        <v>382.29</v>
      </c>
      <c r="I5" s="69">
        <v>20.29</v>
      </c>
      <c r="J5" s="70">
        <v>0.7525</v>
      </c>
    </row>
    <row r="6" spans="1:10">
      <c r="A6" s="67">
        <v>1024</v>
      </c>
      <c r="B6" s="67">
        <v>1024</v>
      </c>
      <c r="C6" s="67">
        <v>32</v>
      </c>
      <c r="D6" s="67">
        <v>320</v>
      </c>
      <c r="E6" s="68">
        <v>0.881</v>
      </c>
      <c r="F6" s="69">
        <v>1162.71</v>
      </c>
      <c r="G6" s="69">
        <v>2329.96</v>
      </c>
      <c r="H6" s="69">
        <v>580.03</v>
      </c>
      <c r="I6" s="69">
        <v>26.71</v>
      </c>
      <c r="J6" s="70">
        <v>1.1355</v>
      </c>
    </row>
    <row r="7" spans="1:10">
      <c r="A7" s="67">
        <v>1024</v>
      </c>
      <c r="B7" s="67">
        <v>1024</v>
      </c>
      <c r="C7" s="67">
        <v>64</v>
      </c>
      <c r="D7" s="67">
        <v>640</v>
      </c>
      <c r="E7" s="68">
        <v>0.881</v>
      </c>
      <c r="F7" s="69">
        <v>1162.92</v>
      </c>
      <c r="G7" s="69">
        <v>2330.38</v>
      </c>
      <c r="H7" s="69">
        <v>26997.97</v>
      </c>
      <c r="I7" s="69">
        <v>27.02</v>
      </c>
      <c r="J7" s="70">
        <v>1.1357</v>
      </c>
    </row>
    <row r="8" spans="1:10">
      <c r="A8" s="67">
        <v>1024</v>
      </c>
      <c r="B8" s="67">
        <v>1024</v>
      </c>
      <c r="C8" s="67">
        <v>128</v>
      </c>
      <c r="D8" s="67">
        <v>640</v>
      </c>
      <c r="E8" s="68">
        <v>0.878</v>
      </c>
      <c r="F8" s="69">
        <v>1165.85</v>
      </c>
      <c r="G8" s="69">
        <v>2336.25</v>
      </c>
      <c r="H8" s="69">
        <v>76086.15</v>
      </c>
      <c r="I8" s="69">
        <v>26.96</v>
      </c>
      <c r="J8" s="70">
        <v>1.1385</v>
      </c>
    </row>
    <row r="9" spans="1:10">
      <c r="A9" s="67">
        <v>1024</v>
      </c>
      <c r="B9" s="67">
        <v>1024</v>
      </c>
      <c r="C9" s="67">
        <v>256</v>
      </c>
      <c r="D9" s="67">
        <v>1280</v>
      </c>
      <c r="E9" s="68">
        <v>0.88</v>
      </c>
      <c r="F9" s="69">
        <v>1164.12</v>
      </c>
      <c r="G9" s="69">
        <v>2332.8</v>
      </c>
      <c r="H9" s="69">
        <v>177202.29</v>
      </c>
      <c r="I9" s="69">
        <v>27.15</v>
      </c>
      <c r="J9" s="70">
        <v>1.1368</v>
      </c>
    </row>
    <row r="10" spans="1:10">
      <c r="A10" s="67">
        <v>1024</v>
      </c>
      <c r="B10" s="67">
        <v>1024</v>
      </c>
      <c r="C10" s="67">
        <v>512</v>
      </c>
      <c r="D10" s="67">
        <v>2048</v>
      </c>
      <c r="E10" s="68">
        <v>0.878</v>
      </c>
      <c r="F10" s="69">
        <v>1166.05</v>
      </c>
      <c r="G10" s="69">
        <v>2336.65</v>
      </c>
      <c r="H10" s="69">
        <v>368413.57</v>
      </c>
      <c r="I10" s="69">
        <v>27.16</v>
      </c>
      <c r="J10" s="70">
        <v>1.1387</v>
      </c>
    </row>
    <row r="11" spans="1:10">
      <c r="A11" s="71">
        <v>1024</v>
      </c>
      <c r="B11" s="71">
        <v>4096</v>
      </c>
      <c r="C11" s="71">
        <v>1</v>
      </c>
      <c r="D11" s="71">
        <v>10</v>
      </c>
      <c r="E11" s="72">
        <v>48.397</v>
      </c>
      <c r="F11" s="73">
        <v>84.63</v>
      </c>
      <c r="G11" s="73">
        <v>105.88</v>
      </c>
      <c r="H11" s="73">
        <v>170.79</v>
      </c>
      <c r="I11" s="73">
        <v>11.78</v>
      </c>
      <c r="J11" s="74">
        <v>0.0207</v>
      </c>
    </row>
    <row r="12" spans="1:10">
      <c r="A12" s="71">
        <v>1024</v>
      </c>
      <c r="B12" s="71">
        <v>4096</v>
      </c>
      <c r="C12" s="71">
        <v>2</v>
      </c>
      <c r="D12" s="71">
        <v>20</v>
      </c>
      <c r="E12" s="72">
        <v>26.088</v>
      </c>
      <c r="F12" s="73">
        <v>157.01</v>
      </c>
      <c r="G12" s="73">
        <v>196.41</v>
      </c>
      <c r="H12" s="73">
        <v>197.16</v>
      </c>
      <c r="I12" s="73">
        <v>12.65</v>
      </c>
      <c r="J12" s="74">
        <v>0.0383</v>
      </c>
    </row>
    <row r="13" spans="1:10">
      <c r="A13" s="71">
        <v>1024</v>
      </c>
      <c r="B13" s="71">
        <v>4096</v>
      </c>
      <c r="C13" s="71">
        <v>4</v>
      </c>
      <c r="D13" s="71">
        <v>40</v>
      </c>
      <c r="E13" s="72">
        <v>14.256</v>
      </c>
      <c r="F13" s="73">
        <v>287.32</v>
      </c>
      <c r="G13" s="73">
        <v>359.43</v>
      </c>
      <c r="H13" s="73">
        <v>225.66</v>
      </c>
      <c r="I13" s="73">
        <v>13.79</v>
      </c>
      <c r="J13" s="74">
        <v>0.0701</v>
      </c>
    </row>
    <row r="14" spans="1:10">
      <c r="A14" s="71">
        <v>1024</v>
      </c>
      <c r="B14" s="71">
        <v>4096</v>
      </c>
      <c r="C14" s="71">
        <v>8</v>
      </c>
      <c r="D14" s="71">
        <v>80</v>
      </c>
      <c r="E14" s="72">
        <v>8.404</v>
      </c>
      <c r="F14" s="73">
        <v>487.41</v>
      </c>
      <c r="G14" s="73">
        <v>609.74</v>
      </c>
      <c r="H14" s="73">
        <v>268.96</v>
      </c>
      <c r="I14" s="73">
        <v>16.27</v>
      </c>
      <c r="J14" s="74">
        <v>0.119</v>
      </c>
    </row>
    <row r="15" spans="1:10">
      <c r="A15" s="71">
        <v>1024</v>
      </c>
      <c r="B15" s="71">
        <v>4096</v>
      </c>
      <c r="C15" s="71">
        <v>16</v>
      </c>
      <c r="D15" s="71">
        <v>80</v>
      </c>
      <c r="E15" s="72">
        <v>4.937</v>
      </c>
      <c r="F15" s="73">
        <v>829.6</v>
      </c>
      <c r="G15" s="73">
        <v>1037.81</v>
      </c>
      <c r="H15" s="73">
        <v>477.27</v>
      </c>
      <c r="I15" s="73">
        <v>19.01</v>
      </c>
      <c r="J15" s="74">
        <v>0.2025</v>
      </c>
    </row>
    <row r="16" spans="1:10">
      <c r="A16" s="67">
        <v>1024</v>
      </c>
      <c r="B16" s="67">
        <v>16384</v>
      </c>
      <c r="C16" s="67">
        <v>1</v>
      </c>
      <c r="D16" s="67">
        <v>20</v>
      </c>
      <c r="E16" s="68">
        <v>192.334</v>
      </c>
      <c r="F16" s="69">
        <v>85.19</v>
      </c>
      <c r="G16" s="69">
        <v>90.53</v>
      </c>
      <c r="H16" s="69">
        <v>172.49</v>
      </c>
      <c r="I16" s="69">
        <v>11.73</v>
      </c>
      <c r="J16" s="70">
        <v>0.0052</v>
      </c>
    </row>
    <row r="17" spans="1:10">
      <c r="A17" s="67">
        <v>1024</v>
      </c>
      <c r="B17" s="67">
        <v>16384</v>
      </c>
      <c r="C17" s="67">
        <v>4</v>
      </c>
      <c r="D17" s="67">
        <v>50</v>
      </c>
      <c r="E17" s="68">
        <v>57.65</v>
      </c>
      <c r="F17" s="69">
        <v>284.2</v>
      </c>
      <c r="G17" s="69">
        <v>302.03</v>
      </c>
      <c r="H17" s="69">
        <v>217.31</v>
      </c>
      <c r="I17" s="69">
        <v>13.56</v>
      </c>
      <c r="J17" s="70">
        <v>0.0173</v>
      </c>
    </row>
    <row r="18" spans="1:10">
      <c r="A18" s="67">
        <v>1024</v>
      </c>
      <c r="B18" s="67">
        <v>16384</v>
      </c>
      <c r="C18" s="67">
        <v>8</v>
      </c>
      <c r="D18" s="67">
        <v>100</v>
      </c>
      <c r="E18" s="68">
        <v>30.835</v>
      </c>
      <c r="F18" s="69">
        <v>494.02</v>
      </c>
      <c r="G18" s="69">
        <v>527.34</v>
      </c>
      <c r="H18" s="69">
        <v>289.7</v>
      </c>
      <c r="I18" s="69">
        <v>16.34</v>
      </c>
      <c r="J18" s="70">
        <v>0.0324</v>
      </c>
    </row>
    <row r="19" spans="1:10">
      <c r="A19" s="67">
        <v>1024</v>
      </c>
      <c r="B19" s="67">
        <v>16384</v>
      </c>
      <c r="C19" s="67">
        <v>16</v>
      </c>
      <c r="D19" s="67">
        <v>100</v>
      </c>
      <c r="E19" s="68">
        <v>20.822</v>
      </c>
      <c r="F19" s="69">
        <v>786.84</v>
      </c>
      <c r="G19" s="69">
        <v>836.21</v>
      </c>
      <c r="H19" s="69">
        <v>498.66</v>
      </c>
      <c r="I19" s="69">
        <v>18.67</v>
      </c>
      <c r="J19" s="70">
        <v>0.048</v>
      </c>
    </row>
    <row r="20" spans="1:10">
      <c r="A20" s="71">
        <v>1024</v>
      </c>
      <c r="B20" s="71">
        <v>131072</v>
      </c>
      <c r="C20" s="71">
        <v>1</v>
      </c>
      <c r="D20" s="71">
        <v>5</v>
      </c>
      <c r="E20" s="72">
        <v>1557.998</v>
      </c>
      <c r="F20" s="73">
        <v>84.13</v>
      </c>
      <c r="G20" s="73">
        <v>84.79</v>
      </c>
      <c r="H20" s="73">
        <v>176.8</v>
      </c>
      <c r="I20" s="73">
        <v>11.89</v>
      </c>
      <c r="J20" s="74">
        <v>0.0006</v>
      </c>
    </row>
    <row r="21" spans="1:10">
      <c r="A21" s="71">
        <v>1024</v>
      </c>
      <c r="B21" s="71">
        <v>131072</v>
      </c>
      <c r="C21" s="71">
        <v>2</v>
      </c>
      <c r="D21" s="71">
        <v>5</v>
      </c>
      <c r="E21" s="72">
        <v>989.192</v>
      </c>
      <c r="F21" s="73">
        <v>132.5</v>
      </c>
      <c r="G21" s="73">
        <v>133.54</v>
      </c>
      <c r="H21" s="73">
        <v>224.32</v>
      </c>
      <c r="I21" s="73">
        <v>12.71</v>
      </c>
      <c r="J21" s="74">
        <v>0.001</v>
      </c>
    </row>
    <row r="22" spans="1:10">
      <c r="A22" s="71">
        <v>1024</v>
      </c>
      <c r="B22" s="71">
        <v>131072</v>
      </c>
      <c r="C22" s="71">
        <v>4</v>
      </c>
      <c r="D22" s="71">
        <v>8</v>
      </c>
      <c r="E22" s="72">
        <v>465.849</v>
      </c>
      <c r="F22" s="73">
        <v>281.36</v>
      </c>
      <c r="G22" s="73">
        <v>283.57</v>
      </c>
      <c r="H22" s="73">
        <v>352.45</v>
      </c>
      <c r="I22" s="73">
        <v>14.21</v>
      </c>
      <c r="J22" s="74">
        <v>0.0021</v>
      </c>
    </row>
    <row r="23" spans="1:10">
      <c r="A23" s="67">
        <v>4096</v>
      </c>
      <c r="B23" s="67">
        <v>1024</v>
      </c>
      <c r="C23" s="67">
        <v>8</v>
      </c>
      <c r="D23" s="67">
        <v>80</v>
      </c>
      <c r="E23" s="68">
        <v>2.696</v>
      </c>
      <c r="F23" s="69">
        <v>379.77</v>
      </c>
      <c r="G23" s="69">
        <v>1900.33</v>
      </c>
      <c r="H23" s="69">
        <v>1117.75</v>
      </c>
      <c r="I23" s="69">
        <v>19.77</v>
      </c>
      <c r="J23" s="70">
        <v>0.3709</v>
      </c>
    </row>
    <row r="24" spans="1:10">
      <c r="A24" s="67">
        <v>4096</v>
      </c>
      <c r="B24" s="67">
        <v>1024</v>
      </c>
      <c r="C24" s="67">
        <v>16</v>
      </c>
      <c r="D24" s="67">
        <v>160</v>
      </c>
      <c r="E24" s="68">
        <v>1.843</v>
      </c>
      <c r="F24" s="69">
        <v>555.55</v>
      </c>
      <c r="G24" s="69">
        <v>2779.9</v>
      </c>
      <c r="H24" s="69">
        <v>1400.34</v>
      </c>
      <c r="I24" s="69">
        <v>27.14</v>
      </c>
      <c r="J24" s="70">
        <v>0.5425</v>
      </c>
    </row>
    <row r="25" spans="1:10">
      <c r="A25" s="67">
        <v>4096</v>
      </c>
      <c r="B25" s="67">
        <v>1024</v>
      </c>
      <c r="C25" s="67">
        <v>32</v>
      </c>
      <c r="D25" s="67">
        <v>320</v>
      </c>
      <c r="E25" s="68">
        <v>1.449</v>
      </c>
      <c r="F25" s="69">
        <v>706.47</v>
      </c>
      <c r="G25" s="69">
        <v>3535.09</v>
      </c>
      <c r="H25" s="69">
        <v>2461.5</v>
      </c>
      <c r="I25" s="69">
        <v>42.38</v>
      </c>
      <c r="J25" s="70">
        <v>0.6899</v>
      </c>
    </row>
    <row r="26" spans="1:10">
      <c r="A26" s="67">
        <v>4096</v>
      </c>
      <c r="B26" s="67">
        <v>1024</v>
      </c>
      <c r="C26" s="67">
        <v>64</v>
      </c>
      <c r="D26" s="67">
        <v>320</v>
      </c>
      <c r="E26" s="68">
        <v>1.462</v>
      </c>
      <c r="F26" s="69">
        <v>700.46</v>
      </c>
      <c r="G26" s="69">
        <v>3505.02</v>
      </c>
      <c r="H26" s="69">
        <v>44989.86</v>
      </c>
      <c r="I26" s="69">
        <v>43.11</v>
      </c>
      <c r="J26" s="70">
        <v>0.684</v>
      </c>
    </row>
    <row r="27" spans="1:10">
      <c r="A27" s="71">
        <v>4096</v>
      </c>
      <c r="B27" s="71">
        <v>4096</v>
      </c>
      <c r="C27" s="71">
        <v>1</v>
      </c>
      <c r="D27" s="71">
        <v>10</v>
      </c>
      <c r="E27" s="72">
        <v>48.495</v>
      </c>
      <c r="F27" s="73">
        <v>84.46</v>
      </c>
      <c r="G27" s="73">
        <v>169.01</v>
      </c>
      <c r="H27" s="73">
        <v>652.6</v>
      </c>
      <c r="I27" s="73">
        <v>11.68</v>
      </c>
      <c r="J27" s="74">
        <v>0.0206</v>
      </c>
    </row>
    <row r="28" spans="1:10">
      <c r="A28" s="71">
        <v>4096</v>
      </c>
      <c r="B28" s="71">
        <v>4096</v>
      </c>
      <c r="C28" s="71">
        <v>2</v>
      </c>
      <c r="D28" s="71">
        <v>20</v>
      </c>
      <c r="E28" s="72">
        <v>26.388</v>
      </c>
      <c r="F28" s="73">
        <v>155.22</v>
      </c>
      <c r="G28" s="73">
        <v>310.6</v>
      </c>
      <c r="H28" s="73">
        <v>754.53</v>
      </c>
      <c r="I28" s="73">
        <v>12.7</v>
      </c>
      <c r="J28" s="74">
        <v>0.0379</v>
      </c>
    </row>
    <row r="29" spans="1:10">
      <c r="A29" s="71">
        <v>4096</v>
      </c>
      <c r="B29" s="71">
        <v>4096</v>
      </c>
      <c r="C29" s="71">
        <v>4</v>
      </c>
      <c r="D29" s="71">
        <v>40</v>
      </c>
      <c r="E29" s="72">
        <v>14.526</v>
      </c>
      <c r="F29" s="73">
        <v>281.98</v>
      </c>
      <c r="G29" s="73">
        <v>564.24</v>
      </c>
      <c r="H29" s="73">
        <v>811.95</v>
      </c>
      <c r="I29" s="73">
        <v>13.96</v>
      </c>
      <c r="J29" s="74">
        <v>0.0688</v>
      </c>
    </row>
    <row r="30" spans="1:10">
      <c r="A30" s="71">
        <v>4096</v>
      </c>
      <c r="B30" s="71">
        <v>4096</v>
      </c>
      <c r="C30" s="71">
        <v>8</v>
      </c>
      <c r="D30" s="71">
        <v>40</v>
      </c>
      <c r="E30" s="72">
        <v>8.792</v>
      </c>
      <c r="F30" s="73">
        <v>465.9</v>
      </c>
      <c r="G30" s="73">
        <v>932.25</v>
      </c>
      <c r="H30" s="73">
        <v>1281.57</v>
      </c>
      <c r="I30" s="73">
        <v>16.7</v>
      </c>
      <c r="J30" s="74">
        <v>0.1137</v>
      </c>
    </row>
    <row r="31" spans="1:10">
      <c r="A31" s="67">
        <v>8192</v>
      </c>
      <c r="B31" s="67">
        <v>1024</v>
      </c>
      <c r="C31" s="67">
        <v>1</v>
      </c>
      <c r="D31" s="67">
        <v>30</v>
      </c>
      <c r="E31" s="68">
        <v>13.868</v>
      </c>
      <c r="F31" s="69">
        <v>73.84</v>
      </c>
      <c r="G31" s="69">
        <v>664.84</v>
      </c>
      <c r="H31" s="69">
        <v>1621.04</v>
      </c>
      <c r="I31" s="69">
        <v>11.97</v>
      </c>
      <c r="J31" s="70">
        <v>0.0721</v>
      </c>
    </row>
    <row r="32" spans="1:10">
      <c r="A32" s="67">
        <v>8192</v>
      </c>
      <c r="B32" s="67">
        <v>1024</v>
      </c>
      <c r="C32" s="67">
        <v>4</v>
      </c>
      <c r="D32" s="67">
        <v>100</v>
      </c>
      <c r="E32" s="68">
        <v>5.137</v>
      </c>
      <c r="F32" s="69">
        <v>199.33</v>
      </c>
      <c r="G32" s="69">
        <v>1794.78</v>
      </c>
      <c r="H32" s="69">
        <v>1823.21</v>
      </c>
      <c r="I32" s="69">
        <v>18.15</v>
      </c>
      <c r="J32" s="70">
        <v>0.1947</v>
      </c>
    </row>
    <row r="33" spans="1:10">
      <c r="A33" s="67">
        <v>8192</v>
      </c>
      <c r="B33" s="67">
        <v>1024</v>
      </c>
      <c r="C33" s="67">
        <v>8</v>
      </c>
      <c r="D33" s="67">
        <v>200</v>
      </c>
      <c r="E33" s="68">
        <v>3.62</v>
      </c>
      <c r="F33" s="69">
        <v>282.87</v>
      </c>
      <c r="G33" s="69">
        <v>2546.9</v>
      </c>
      <c r="H33" s="69">
        <v>2030.88</v>
      </c>
      <c r="I33" s="69">
        <v>26.1</v>
      </c>
      <c r="J33" s="70">
        <v>0.2762</v>
      </c>
    </row>
    <row r="34" spans="1:10">
      <c r="A34" s="67">
        <v>8192</v>
      </c>
      <c r="B34" s="67">
        <v>1024</v>
      </c>
      <c r="C34" s="67">
        <v>16</v>
      </c>
      <c r="D34" s="67">
        <v>300</v>
      </c>
      <c r="E34" s="68">
        <v>2.858</v>
      </c>
      <c r="F34" s="69">
        <v>358.32</v>
      </c>
      <c r="G34" s="69">
        <v>3226.26</v>
      </c>
      <c r="H34" s="69">
        <v>3482.44</v>
      </c>
      <c r="I34" s="69">
        <v>40.99</v>
      </c>
      <c r="J34" s="70">
        <v>0.3499</v>
      </c>
    </row>
    <row r="35" spans="1:10">
      <c r="A35" s="67">
        <v>8192</v>
      </c>
      <c r="B35" s="67">
        <v>1024</v>
      </c>
      <c r="C35" s="67">
        <v>32</v>
      </c>
      <c r="D35" s="67">
        <v>500</v>
      </c>
      <c r="E35" s="68">
        <v>2.543</v>
      </c>
      <c r="F35" s="69">
        <v>402.64</v>
      </c>
      <c r="G35" s="69">
        <v>3625.31</v>
      </c>
      <c r="H35" s="69">
        <v>4985.25</v>
      </c>
      <c r="I35" s="69">
        <v>74.02</v>
      </c>
      <c r="J35" s="70">
        <v>0.3932</v>
      </c>
    </row>
    <row r="36" spans="1:10">
      <c r="A36" s="71">
        <v>8192</v>
      </c>
      <c r="B36" s="71">
        <v>16384</v>
      </c>
      <c r="C36" s="71">
        <v>1</v>
      </c>
      <c r="D36" s="71">
        <v>20</v>
      </c>
      <c r="E36" s="72">
        <v>192.418</v>
      </c>
      <c r="F36" s="73">
        <v>85.15</v>
      </c>
      <c r="G36" s="73">
        <v>127.74</v>
      </c>
      <c r="H36" s="73">
        <v>1619.9</v>
      </c>
      <c r="I36" s="73">
        <v>11.65</v>
      </c>
      <c r="J36" s="74">
        <v>0.0052</v>
      </c>
    </row>
    <row r="37" spans="1:10">
      <c r="A37" s="71">
        <v>8192</v>
      </c>
      <c r="B37" s="71">
        <v>16384</v>
      </c>
      <c r="C37" s="71">
        <v>4</v>
      </c>
      <c r="D37" s="71">
        <v>50</v>
      </c>
      <c r="E37" s="72">
        <v>59.019</v>
      </c>
      <c r="F37" s="73">
        <v>277.61</v>
      </c>
      <c r="G37" s="73">
        <v>416.48</v>
      </c>
      <c r="H37" s="73">
        <v>1956.83</v>
      </c>
      <c r="I37" s="73">
        <v>13.79</v>
      </c>
      <c r="J37" s="74">
        <v>0.0169</v>
      </c>
    </row>
    <row r="38" spans="1:10">
      <c r="A38" s="71">
        <v>8192</v>
      </c>
      <c r="B38" s="71">
        <v>16384</v>
      </c>
      <c r="C38" s="71">
        <v>8</v>
      </c>
      <c r="D38" s="71">
        <v>50</v>
      </c>
      <c r="E38" s="72">
        <v>36.962</v>
      </c>
      <c r="F38" s="73">
        <v>443.27</v>
      </c>
      <c r="G38" s="73">
        <v>665.01</v>
      </c>
      <c r="H38" s="73">
        <v>3080.96</v>
      </c>
      <c r="I38" s="73">
        <v>16.36</v>
      </c>
      <c r="J38" s="74">
        <v>0.0271</v>
      </c>
    </row>
    <row r="39" spans="1:10">
      <c r="A39" s="71">
        <v>8192</v>
      </c>
      <c r="B39" s="71">
        <v>16384</v>
      </c>
      <c r="C39" s="71">
        <v>16</v>
      </c>
      <c r="D39" s="71">
        <v>80</v>
      </c>
      <c r="E39" s="72">
        <v>21.344</v>
      </c>
      <c r="F39" s="73">
        <v>767.6</v>
      </c>
      <c r="G39" s="73">
        <v>1151.59</v>
      </c>
      <c r="H39" s="73">
        <v>4667.7</v>
      </c>
      <c r="I39" s="73">
        <v>20.45</v>
      </c>
      <c r="J39" s="74">
        <v>0.0469</v>
      </c>
    </row>
    <row r="40" spans="1:10">
      <c r="A40" s="67">
        <v>16384</v>
      </c>
      <c r="B40" s="67">
        <v>1024</v>
      </c>
      <c r="C40" s="67">
        <v>1</v>
      </c>
      <c r="D40" s="67">
        <v>10</v>
      </c>
      <c r="E40" s="68">
        <v>15.279</v>
      </c>
      <c r="F40" s="69">
        <v>67.02</v>
      </c>
      <c r="G40" s="69">
        <v>1139.57</v>
      </c>
      <c r="H40" s="69">
        <v>2893.91</v>
      </c>
      <c r="I40" s="69">
        <v>12.11</v>
      </c>
      <c r="J40" s="70">
        <v>0.0654</v>
      </c>
    </row>
    <row r="41" spans="1:10">
      <c r="A41" s="67">
        <v>16384</v>
      </c>
      <c r="B41" s="67">
        <v>1024</v>
      </c>
      <c r="C41" s="67">
        <v>2</v>
      </c>
      <c r="D41" s="67">
        <v>20</v>
      </c>
      <c r="E41" s="68">
        <v>9.511</v>
      </c>
      <c r="F41" s="69">
        <v>107.67</v>
      </c>
      <c r="G41" s="69">
        <v>1830.77</v>
      </c>
      <c r="H41" s="69">
        <v>3224.94</v>
      </c>
      <c r="I41" s="69">
        <v>15.37</v>
      </c>
      <c r="J41" s="70">
        <v>0.1051</v>
      </c>
    </row>
    <row r="42" spans="1:10">
      <c r="A42" s="67">
        <v>16384</v>
      </c>
      <c r="B42" s="67">
        <v>1024</v>
      </c>
      <c r="C42" s="67">
        <v>4</v>
      </c>
      <c r="D42" s="67">
        <v>40</v>
      </c>
      <c r="E42" s="68">
        <v>6.506</v>
      </c>
      <c r="F42" s="69">
        <v>157.39</v>
      </c>
      <c r="G42" s="69">
        <v>2676.18</v>
      </c>
      <c r="H42" s="69">
        <v>3460.84</v>
      </c>
      <c r="I42" s="69">
        <v>21.57</v>
      </c>
      <c r="J42" s="70">
        <v>0.1537</v>
      </c>
    </row>
    <row r="43" spans="1:10">
      <c r="A43" s="67">
        <v>16384</v>
      </c>
      <c r="B43" s="67">
        <v>1024</v>
      </c>
      <c r="C43" s="67">
        <v>8</v>
      </c>
      <c r="D43" s="67">
        <v>80</v>
      </c>
      <c r="E43" s="68">
        <v>4.929</v>
      </c>
      <c r="F43" s="69">
        <v>207.73</v>
      </c>
      <c r="G43" s="69">
        <v>3532.27</v>
      </c>
      <c r="H43" s="69">
        <v>4506.77</v>
      </c>
      <c r="I43" s="69">
        <v>33.8</v>
      </c>
      <c r="J43" s="70">
        <v>0.2029</v>
      </c>
    </row>
    <row r="44" spans="1:10">
      <c r="A44" s="67">
        <v>16384</v>
      </c>
      <c r="B44" s="67">
        <v>1024</v>
      </c>
      <c r="C44" s="67">
        <v>16</v>
      </c>
      <c r="D44" s="67">
        <v>80</v>
      </c>
      <c r="E44" s="68">
        <v>4.385</v>
      </c>
      <c r="F44" s="69">
        <v>233.55</v>
      </c>
      <c r="G44" s="69">
        <v>3971.22</v>
      </c>
      <c r="H44" s="69">
        <v>10234.13</v>
      </c>
      <c r="I44" s="69">
        <v>57.98</v>
      </c>
      <c r="J44" s="70">
        <v>0.2281</v>
      </c>
    </row>
    <row r="45" spans="1:10">
      <c r="A45" s="71">
        <v>16384</v>
      </c>
      <c r="B45" s="71">
        <v>4096</v>
      </c>
      <c r="C45" s="71">
        <v>1</v>
      </c>
      <c r="D45" s="71">
        <v>5</v>
      </c>
      <c r="E45" s="72">
        <v>50.987</v>
      </c>
      <c r="F45" s="73">
        <v>80.33</v>
      </c>
      <c r="G45" s="73">
        <v>401.75</v>
      </c>
      <c r="H45" s="73">
        <v>2886.92</v>
      </c>
      <c r="I45" s="73">
        <v>11.75</v>
      </c>
      <c r="J45" s="74">
        <v>0.0196</v>
      </c>
    </row>
    <row r="46" spans="1:10">
      <c r="A46" s="71">
        <v>16384</v>
      </c>
      <c r="B46" s="71">
        <v>4096</v>
      </c>
      <c r="C46" s="71">
        <v>2</v>
      </c>
      <c r="D46" s="71">
        <v>10</v>
      </c>
      <c r="E46" s="72">
        <v>28.937</v>
      </c>
      <c r="F46" s="73">
        <v>141.55</v>
      </c>
      <c r="G46" s="73">
        <v>707.88</v>
      </c>
      <c r="H46" s="73">
        <v>3539.95</v>
      </c>
      <c r="I46" s="73">
        <v>13.25</v>
      </c>
      <c r="J46" s="74">
        <v>0.0346</v>
      </c>
    </row>
    <row r="47" spans="1:10">
      <c r="A47" s="71">
        <v>16384</v>
      </c>
      <c r="B47" s="71">
        <v>4096</v>
      </c>
      <c r="C47" s="71">
        <v>4</v>
      </c>
      <c r="D47" s="71">
        <v>20</v>
      </c>
      <c r="E47" s="72">
        <v>16.759</v>
      </c>
      <c r="F47" s="73">
        <v>244.4</v>
      </c>
      <c r="G47" s="73">
        <v>1222.25</v>
      </c>
      <c r="H47" s="73">
        <v>5118.98</v>
      </c>
      <c r="I47" s="73">
        <v>15.09</v>
      </c>
      <c r="J47" s="74">
        <v>0.0597</v>
      </c>
    </row>
    <row r="48" spans="1:10">
      <c r="A48" s="67">
        <v>32768</v>
      </c>
      <c r="B48" s="67">
        <v>1024</v>
      </c>
      <c r="C48" s="67">
        <v>1</v>
      </c>
      <c r="D48" s="67">
        <v>20</v>
      </c>
      <c r="E48" s="68">
        <v>17.88</v>
      </c>
      <c r="F48" s="69">
        <v>57.27</v>
      </c>
      <c r="G48" s="69">
        <v>1890.16</v>
      </c>
      <c r="H48" s="69">
        <v>5687.71</v>
      </c>
      <c r="I48" s="69">
        <v>11.92</v>
      </c>
      <c r="J48" s="70">
        <v>0.0559</v>
      </c>
    </row>
    <row r="49" spans="1:10">
      <c r="A49" s="67">
        <v>32768</v>
      </c>
      <c r="B49" s="67">
        <v>1024</v>
      </c>
      <c r="C49" s="67">
        <v>4</v>
      </c>
      <c r="D49" s="67">
        <v>50</v>
      </c>
      <c r="E49" s="68">
        <v>9.265</v>
      </c>
      <c r="F49" s="69">
        <v>110.52</v>
      </c>
      <c r="G49" s="69">
        <v>3647.72</v>
      </c>
      <c r="H49" s="69">
        <v>7993.08</v>
      </c>
      <c r="I49" s="69">
        <v>27.84</v>
      </c>
      <c r="J49" s="70">
        <v>0.1079</v>
      </c>
    </row>
    <row r="50" spans="1:10">
      <c r="A50" s="67">
        <v>32768</v>
      </c>
      <c r="B50" s="67">
        <v>1024</v>
      </c>
      <c r="C50" s="67">
        <v>8</v>
      </c>
      <c r="D50" s="67">
        <v>100</v>
      </c>
      <c r="E50" s="68">
        <v>8.295</v>
      </c>
      <c r="F50" s="69">
        <v>123.45</v>
      </c>
      <c r="G50" s="69">
        <v>4074.31</v>
      </c>
      <c r="H50" s="69">
        <v>11497.84</v>
      </c>
      <c r="I50" s="69">
        <v>53.04</v>
      </c>
      <c r="J50" s="70">
        <v>0.1206</v>
      </c>
    </row>
    <row r="51" spans="1:10">
      <c r="A51" s="67">
        <v>32768</v>
      </c>
      <c r="B51" s="67">
        <v>1024</v>
      </c>
      <c r="C51" s="67">
        <v>16</v>
      </c>
      <c r="D51" s="67">
        <v>200</v>
      </c>
      <c r="E51" s="68">
        <v>7.791</v>
      </c>
      <c r="F51" s="69">
        <v>131.44</v>
      </c>
      <c r="G51" s="69">
        <v>4337.93</v>
      </c>
      <c r="H51" s="69">
        <v>14268.03</v>
      </c>
      <c r="I51" s="69">
        <v>107.17</v>
      </c>
      <c r="J51" s="70">
        <v>0.1284</v>
      </c>
    </row>
    <row r="52" spans="1:10">
      <c r="A52" s="67">
        <v>32768</v>
      </c>
      <c r="B52" s="67">
        <v>1024</v>
      </c>
      <c r="C52" s="67">
        <v>32</v>
      </c>
      <c r="D52" s="67">
        <v>200</v>
      </c>
      <c r="E52" s="68">
        <v>8.945</v>
      </c>
      <c r="F52" s="69">
        <v>114.48</v>
      </c>
      <c r="G52" s="69">
        <v>3778.18</v>
      </c>
      <c r="H52" s="69">
        <v>32451.02</v>
      </c>
      <c r="I52" s="69">
        <v>246.38</v>
      </c>
      <c r="J52" s="70">
        <v>0.1118</v>
      </c>
    </row>
    <row r="53" spans="1:10">
      <c r="A53" s="71">
        <v>65536</v>
      </c>
      <c r="B53" s="71">
        <v>1024</v>
      </c>
      <c r="C53" s="71">
        <v>1</v>
      </c>
      <c r="D53" s="71">
        <v>5</v>
      </c>
      <c r="E53" s="72">
        <v>24.799</v>
      </c>
      <c r="F53" s="73">
        <v>41.29</v>
      </c>
      <c r="G53" s="73">
        <v>2684.09</v>
      </c>
      <c r="H53" s="73">
        <v>12462.85</v>
      </c>
      <c r="I53" s="73">
        <v>12.06</v>
      </c>
      <c r="J53" s="74">
        <v>0.0403</v>
      </c>
    </row>
    <row r="54" spans="1:10">
      <c r="A54" s="71">
        <v>65536</v>
      </c>
      <c r="B54" s="71">
        <v>1024</v>
      </c>
      <c r="C54" s="71">
        <v>2</v>
      </c>
      <c r="D54" s="71">
        <v>10</v>
      </c>
      <c r="E54" s="72">
        <v>18.907</v>
      </c>
      <c r="F54" s="73">
        <v>54.16</v>
      </c>
      <c r="G54" s="73">
        <v>3520.57</v>
      </c>
      <c r="H54" s="73">
        <v>14699.31</v>
      </c>
      <c r="I54" s="73">
        <v>22.44</v>
      </c>
      <c r="J54" s="74">
        <v>0.0529</v>
      </c>
    </row>
    <row r="55" spans="1:10">
      <c r="A55" s="71">
        <v>65536</v>
      </c>
      <c r="B55" s="71">
        <v>1024</v>
      </c>
      <c r="C55" s="71">
        <v>4</v>
      </c>
      <c r="D55" s="71">
        <v>20</v>
      </c>
      <c r="E55" s="72">
        <v>16.688</v>
      </c>
      <c r="F55" s="73">
        <v>61.36</v>
      </c>
      <c r="G55" s="73">
        <v>3988.75</v>
      </c>
      <c r="H55" s="73">
        <v>21621.67</v>
      </c>
      <c r="I55" s="73">
        <v>43.89</v>
      </c>
      <c r="J55" s="74">
        <v>0.0599</v>
      </c>
    </row>
    <row r="56" spans="1:10">
      <c r="A56" s="71">
        <v>65536</v>
      </c>
      <c r="B56" s="71">
        <v>1024</v>
      </c>
      <c r="C56" s="71">
        <v>8</v>
      </c>
      <c r="D56" s="71">
        <v>40</v>
      </c>
      <c r="E56" s="72">
        <v>15.495</v>
      </c>
      <c r="F56" s="73">
        <v>66.09</v>
      </c>
      <c r="G56" s="73">
        <v>4295.78</v>
      </c>
      <c r="H56" s="73">
        <v>27727.91</v>
      </c>
      <c r="I56" s="73">
        <v>93.32</v>
      </c>
      <c r="J56" s="74">
        <v>0.0645</v>
      </c>
    </row>
    <row r="57" spans="1:10">
      <c r="A57" s="67">
        <v>65536</v>
      </c>
      <c r="B57" s="67">
        <v>4096</v>
      </c>
      <c r="C57" s="67">
        <v>1</v>
      </c>
      <c r="D57" s="67">
        <v>3</v>
      </c>
      <c r="E57" s="68">
        <v>61.797</v>
      </c>
      <c r="F57" s="69">
        <v>66.28</v>
      </c>
      <c r="G57" s="69">
        <v>1126.84</v>
      </c>
      <c r="H57" s="69">
        <v>12485.41</v>
      </c>
      <c r="I57" s="69">
        <v>12.04</v>
      </c>
      <c r="J57" s="70">
        <v>0.0162</v>
      </c>
    </row>
    <row r="58" spans="1:10">
      <c r="A58" s="67">
        <v>65536</v>
      </c>
      <c r="B58" s="67">
        <v>4096</v>
      </c>
      <c r="C58" s="67">
        <v>2</v>
      </c>
      <c r="D58" s="67">
        <v>6</v>
      </c>
      <c r="E58" s="68">
        <v>38.789</v>
      </c>
      <c r="F58" s="69">
        <v>105.6</v>
      </c>
      <c r="G58" s="69">
        <v>1795.26</v>
      </c>
      <c r="H58" s="69">
        <v>16094.51</v>
      </c>
      <c r="I58" s="69">
        <v>14.98</v>
      </c>
      <c r="J58" s="70">
        <v>0.0258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0"/>
  <sheetViews>
    <sheetView workbookViewId="0">
      <selection activeCell="H23" sqref="H23"/>
    </sheetView>
  </sheetViews>
  <sheetFormatPr defaultColWidth="9.23333333333333" defaultRowHeight="13.5"/>
  <cols>
    <col min="2" max="2" width="16.875" customWidth="1"/>
    <col min="6" max="6" width="22.1916666666667" customWidth="1"/>
    <col min="7" max="8" width="15.2333333333333"/>
    <col min="9" max="9" width="17.4583333333333"/>
    <col min="10" max="10" width="14.15"/>
  </cols>
  <sheetData>
    <row r="1" s="62" customFormat="1" ht="27" spans="1:10">
      <c r="A1" s="13" t="s">
        <v>11</v>
      </c>
      <c r="B1" s="13" t="s">
        <v>1</v>
      </c>
      <c r="C1" s="13" t="s">
        <v>2</v>
      </c>
      <c r="D1" s="13" t="s">
        <v>3</v>
      </c>
      <c r="E1" s="13" t="s">
        <v>4</v>
      </c>
      <c r="F1" s="63" t="s">
        <v>147</v>
      </c>
      <c r="G1" s="13" t="s">
        <v>6</v>
      </c>
      <c r="H1" s="13" t="s">
        <v>7</v>
      </c>
      <c r="I1" s="13" t="s">
        <v>8</v>
      </c>
      <c r="J1" s="13" t="s">
        <v>9</v>
      </c>
    </row>
    <row r="2" spans="1:10">
      <c r="A2" s="9" t="s">
        <v>38</v>
      </c>
      <c r="B2" s="9">
        <v>1024</v>
      </c>
      <c r="C2" s="9">
        <v>1024</v>
      </c>
      <c r="D2" s="9">
        <v>1</v>
      </c>
      <c r="E2" s="9">
        <v>32</v>
      </c>
      <c r="F2" s="11">
        <v>0.0833060549387647</v>
      </c>
      <c r="G2" s="11">
        <v>85.305400257295</v>
      </c>
      <c r="H2" s="11">
        <v>170.944024734345</v>
      </c>
      <c r="I2" s="11">
        <v>173.985330064169</v>
      </c>
      <c r="J2" s="11">
        <v>11.5637312975606</v>
      </c>
    </row>
    <row r="3" spans="1:10">
      <c r="A3" s="9" t="s">
        <v>149</v>
      </c>
      <c r="B3" s="9">
        <v>1024</v>
      </c>
      <c r="C3" s="9">
        <v>1024</v>
      </c>
      <c r="D3" s="9">
        <v>2</v>
      </c>
      <c r="E3" s="9">
        <v>8</v>
      </c>
      <c r="F3" s="11">
        <v>0.158165196792792</v>
      </c>
      <c r="G3" s="11">
        <v>161.961161515819</v>
      </c>
      <c r="H3" s="11">
        <v>324.554983818809</v>
      </c>
      <c r="I3" s="11">
        <v>130.559616245591</v>
      </c>
      <c r="J3" s="11">
        <v>12.2214024903487</v>
      </c>
    </row>
    <row r="4" spans="1:10">
      <c r="A4" s="9" t="s">
        <v>150</v>
      </c>
      <c r="B4" s="9">
        <v>1024</v>
      </c>
      <c r="C4" s="9">
        <v>1024</v>
      </c>
      <c r="D4" s="9">
        <v>4</v>
      </c>
      <c r="E4" s="9">
        <v>16</v>
      </c>
      <c r="F4" s="11">
        <v>0.275470291260731</v>
      </c>
      <c r="G4" s="11">
        <v>282.081578250988</v>
      </c>
      <c r="H4" s="11">
        <v>565.26503766702</v>
      </c>
      <c r="I4" s="11">
        <v>215.853404750305</v>
      </c>
      <c r="J4" s="11">
        <v>13.7962125826626</v>
      </c>
    </row>
    <row r="5" spans="1:10">
      <c r="A5" s="9" t="s">
        <v>41</v>
      </c>
      <c r="B5" s="9">
        <v>1024</v>
      </c>
      <c r="C5" s="9">
        <v>1024</v>
      </c>
      <c r="D5" s="9">
        <v>8</v>
      </c>
      <c r="E5" s="9">
        <v>32</v>
      </c>
      <c r="F5" s="11">
        <v>0.460096413434895</v>
      </c>
      <c r="G5" s="11">
        <v>471.138727357332</v>
      </c>
      <c r="H5" s="11">
        <v>944.117840368405</v>
      </c>
      <c r="I5" s="11">
        <v>402.761356217524</v>
      </c>
      <c r="J5" s="11">
        <v>16.3980927798161</v>
      </c>
    </row>
    <row r="6" spans="1:10">
      <c r="A6" s="9" t="s">
        <v>42</v>
      </c>
      <c r="B6" s="9">
        <v>1024</v>
      </c>
      <c r="C6" s="9">
        <v>1024</v>
      </c>
      <c r="D6" s="9">
        <v>16</v>
      </c>
      <c r="E6" s="9">
        <v>64</v>
      </c>
      <c r="F6" s="11">
        <v>0.787588435731064</v>
      </c>
      <c r="G6" s="11">
        <v>806.49055818861</v>
      </c>
      <c r="H6" s="11">
        <v>1616.13147012014</v>
      </c>
      <c r="I6" s="11">
        <v>555.860866874809</v>
      </c>
      <c r="J6" s="11">
        <v>19.1319039649301</v>
      </c>
    </row>
    <row r="7" spans="1:10">
      <c r="A7" s="9" t="s">
        <v>43</v>
      </c>
      <c r="B7" s="9">
        <v>1024</v>
      </c>
      <c r="C7" s="9">
        <v>1024</v>
      </c>
      <c r="D7" s="9">
        <v>32</v>
      </c>
      <c r="E7" s="9">
        <v>128</v>
      </c>
      <c r="F7" s="11">
        <v>1.22330163021827</v>
      </c>
      <c r="G7" s="11">
        <v>1252.66086934351</v>
      </c>
      <c r="H7" s="11">
        <v>2510.2149452079</v>
      </c>
      <c r="I7" s="11">
        <v>874.688251172756</v>
      </c>
      <c r="J7" s="11">
        <v>24.4626115923521</v>
      </c>
    </row>
    <row r="8" spans="1:10">
      <c r="A8" s="9" t="s">
        <v>44</v>
      </c>
      <c r="B8" s="9">
        <v>1024</v>
      </c>
      <c r="C8" s="9">
        <v>1024</v>
      </c>
      <c r="D8" s="9">
        <v>64</v>
      </c>
      <c r="E8" s="9">
        <v>256</v>
      </c>
      <c r="F8" s="11">
        <v>1.75449446643563</v>
      </c>
      <c r="G8" s="11">
        <v>1796.60233363009</v>
      </c>
      <c r="H8" s="11">
        <v>3600.22264512592</v>
      </c>
      <c r="I8" s="11">
        <v>1405.80654035983</v>
      </c>
      <c r="J8" s="11">
        <v>33.8402834514676</v>
      </c>
    </row>
    <row r="9" spans="1:10">
      <c r="A9" s="9" t="s">
        <v>45</v>
      </c>
      <c r="B9" s="9">
        <v>1024</v>
      </c>
      <c r="C9" s="9">
        <v>1024</v>
      </c>
      <c r="D9" s="9">
        <v>128</v>
      </c>
      <c r="E9" s="9">
        <v>512</v>
      </c>
      <c r="F9" s="11">
        <v>2.32758881612979</v>
      </c>
      <c r="G9" s="11">
        <v>2383.4509477169</v>
      </c>
      <c r="H9" s="11">
        <v>4776.21225069833</v>
      </c>
      <c r="I9" s="11">
        <v>2745.48362951372</v>
      </c>
      <c r="J9" s="11">
        <v>50.5465660071937</v>
      </c>
    </row>
    <row r="10" spans="1:10">
      <c r="A10" s="9" t="s">
        <v>46</v>
      </c>
      <c r="B10" s="9">
        <v>1024</v>
      </c>
      <c r="C10" s="9">
        <v>1024</v>
      </c>
      <c r="D10" s="9">
        <v>256</v>
      </c>
      <c r="E10" s="9">
        <v>1024</v>
      </c>
      <c r="F10" s="11">
        <v>2.78218946436606</v>
      </c>
      <c r="G10" s="11">
        <v>2848.96201151084</v>
      </c>
      <c r="H10" s="11">
        <v>5709.05278087915</v>
      </c>
      <c r="I10" s="11">
        <v>7784.385512707</v>
      </c>
      <c r="J10" s="11">
        <v>78.6264193781561</v>
      </c>
    </row>
    <row r="11" spans="1:10">
      <c r="A11" s="9" t="s">
        <v>47</v>
      </c>
      <c r="B11" s="9">
        <v>1024</v>
      </c>
      <c r="C11" s="9">
        <v>1024</v>
      </c>
      <c r="D11" s="9">
        <v>512</v>
      </c>
      <c r="E11" s="9">
        <v>2048</v>
      </c>
      <c r="F11" s="11">
        <v>2.83182207999451</v>
      </c>
      <c r="G11" s="11">
        <v>2899.78580991438</v>
      </c>
      <c r="H11" s="11">
        <v>5810.89890814874</v>
      </c>
      <c r="I11" s="11">
        <v>84887.260046398</v>
      </c>
      <c r="J11" s="11">
        <v>79.9634672147858</v>
      </c>
    </row>
    <row r="12" spans="1:10">
      <c r="A12" s="9" t="s">
        <v>151</v>
      </c>
      <c r="B12" s="9">
        <v>1024</v>
      </c>
      <c r="C12" s="9">
        <v>16384</v>
      </c>
      <c r="D12" s="9">
        <v>1</v>
      </c>
      <c r="E12" s="9">
        <v>16</v>
      </c>
      <c r="F12" s="11">
        <v>0.00551052539923903</v>
      </c>
      <c r="G12" s="11">
        <v>90.2844481411322</v>
      </c>
      <c r="H12" s="11">
        <v>95.94926825155</v>
      </c>
      <c r="I12" s="11">
        <v>176.128410813362</v>
      </c>
      <c r="J12" s="11">
        <v>11.0660146132041</v>
      </c>
    </row>
    <row r="13" spans="1:10">
      <c r="A13" s="9" t="s">
        <v>152</v>
      </c>
      <c r="B13" s="9">
        <v>1024</v>
      </c>
      <c r="C13" s="9">
        <v>16384</v>
      </c>
      <c r="D13" s="9">
        <v>2</v>
      </c>
      <c r="E13" s="9">
        <v>8</v>
      </c>
      <c r="F13" s="11">
        <v>0.010195213243343</v>
      </c>
      <c r="G13" s="11">
        <v>167.038373778933</v>
      </c>
      <c r="H13" s="11">
        <v>177.519052993089</v>
      </c>
      <c r="I13" s="11">
        <v>231.202073997337</v>
      </c>
      <c r="J13" s="11">
        <v>11.9392671274264</v>
      </c>
    </row>
    <row r="14" spans="1:10">
      <c r="A14" s="9" t="s">
        <v>50</v>
      </c>
      <c r="B14" s="9">
        <v>1024</v>
      </c>
      <c r="C14" s="9">
        <v>16384</v>
      </c>
      <c r="D14" s="9">
        <v>4</v>
      </c>
      <c r="E14" s="9">
        <v>16</v>
      </c>
      <c r="F14" s="11">
        <v>0.0184916104793311</v>
      </c>
      <c r="G14" s="11">
        <v>302.966546093361</v>
      </c>
      <c r="H14" s="11">
        <v>321.975921666113</v>
      </c>
      <c r="I14" s="11">
        <v>306.142538563108</v>
      </c>
      <c r="J14" s="11">
        <v>13.1696744982526</v>
      </c>
    </row>
    <row r="15" spans="1:10">
      <c r="A15" s="9" t="s">
        <v>51</v>
      </c>
      <c r="B15" s="9">
        <v>1024</v>
      </c>
      <c r="C15" s="9">
        <v>16384</v>
      </c>
      <c r="D15" s="9">
        <v>8</v>
      </c>
      <c r="E15" s="9">
        <v>16</v>
      </c>
      <c r="F15" s="11">
        <v>0.0316696010398036</v>
      </c>
      <c r="G15" s="11">
        <v>518.874743436142</v>
      </c>
      <c r="H15" s="11">
        <v>551.43109330506</v>
      </c>
      <c r="I15" s="11">
        <v>489.918064749872</v>
      </c>
      <c r="J15" s="11">
        <v>15.3390521611083</v>
      </c>
    </row>
    <row r="16" spans="1:10">
      <c r="A16" s="9" t="s">
        <v>52</v>
      </c>
      <c r="B16" s="9">
        <v>1024</v>
      </c>
      <c r="C16" s="9">
        <v>16384</v>
      </c>
      <c r="D16" s="9">
        <v>16</v>
      </c>
      <c r="E16" s="9">
        <v>32</v>
      </c>
      <c r="F16" s="11">
        <v>0.0554230959720154</v>
      </c>
      <c r="G16" s="11">
        <v>908.0520044055</v>
      </c>
      <c r="H16" s="11">
        <v>965.026947064732</v>
      </c>
      <c r="I16" s="11">
        <v>776.847274656574</v>
      </c>
      <c r="J16" s="11">
        <v>17.4702885076622</v>
      </c>
    </row>
    <row r="17" spans="1:10">
      <c r="A17" s="9" t="s">
        <v>53</v>
      </c>
      <c r="B17" s="9">
        <v>1024</v>
      </c>
      <c r="C17" s="9">
        <v>16384</v>
      </c>
      <c r="D17" s="9">
        <v>32</v>
      </c>
      <c r="E17" s="9">
        <v>64</v>
      </c>
      <c r="F17" s="11">
        <v>0.0881638642352059</v>
      </c>
      <c r="G17" s="11">
        <v>1444.47675162961</v>
      </c>
      <c r="H17" s="11">
        <v>1535.1092040634</v>
      </c>
      <c r="I17" s="11">
        <v>1281.9939840167</v>
      </c>
      <c r="J17" s="11">
        <v>21.9741038307496</v>
      </c>
    </row>
    <row r="18" spans="1:10">
      <c r="A18" s="9" t="s">
        <v>54</v>
      </c>
      <c r="B18" s="9">
        <v>1024</v>
      </c>
      <c r="C18" s="9">
        <v>16384</v>
      </c>
      <c r="D18" s="9">
        <v>64</v>
      </c>
      <c r="E18" s="9">
        <v>128</v>
      </c>
      <c r="F18" s="11">
        <v>0.131160569989361</v>
      </c>
      <c r="G18" s="11">
        <v>2148.93477870569</v>
      </c>
      <c r="H18" s="11">
        <v>2283.76784465476</v>
      </c>
      <c r="I18" s="11">
        <v>2127.53047093644</v>
      </c>
      <c r="J18" s="11">
        <v>29.5179612250866</v>
      </c>
    </row>
    <row r="19" spans="1:10">
      <c r="A19" s="9" t="s">
        <v>153</v>
      </c>
      <c r="B19" s="9">
        <v>8192</v>
      </c>
      <c r="C19" s="9">
        <v>1024</v>
      </c>
      <c r="D19" s="9">
        <v>1</v>
      </c>
      <c r="E19" s="9">
        <v>32</v>
      </c>
      <c r="F19" s="11">
        <v>0.0799754807724089</v>
      </c>
      <c r="G19" s="11">
        <v>81.8948923109467</v>
      </c>
      <c r="H19" s="11">
        <v>737.37393272161</v>
      </c>
      <c r="I19" s="11">
        <v>903.390120311542</v>
      </c>
      <c r="J19" s="11">
        <v>11.339395892138</v>
      </c>
    </row>
    <row r="20" spans="1:10">
      <c r="A20" s="9" t="s">
        <v>154</v>
      </c>
      <c r="B20" s="9">
        <v>8192</v>
      </c>
      <c r="C20" s="9">
        <v>1024</v>
      </c>
      <c r="D20" s="9">
        <v>2</v>
      </c>
      <c r="E20" s="9">
        <v>40</v>
      </c>
      <c r="F20" s="11">
        <v>0.139038345151305</v>
      </c>
      <c r="G20" s="11">
        <v>142.375265434936</v>
      </c>
      <c r="H20" s="11">
        <v>1281.93354229503</v>
      </c>
      <c r="I20" s="11">
        <v>1032.6613003001</v>
      </c>
      <c r="J20" s="11">
        <v>13.0243346909088</v>
      </c>
    </row>
    <row r="21" spans="1:10">
      <c r="A21" s="9" t="s">
        <v>155</v>
      </c>
      <c r="B21" s="9">
        <v>8192</v>
      </c>
      <c r="C21" s="9">
        <v>1024</v>
      </c>
      <c r="D21" s="9">
        <v>4</v>
      </c>
      <c r="E21" s="9">
        <v>80</v>
      </c>
      <c r="F21" s="11">
        <v>0.227947733584839</v>
      </c>
      <c r="G21" s="11">
        <v>233.418479190875</v>
      </c>
      <c r="H21" s="11">
        <v>2101.67810365221</v>
      </c>
      <c r="I21" s="11">
        <v>1264.14957028762</v>
      </c>
      <c r="J21" s="11">
        <v>15.8876586724583</v>
      </c>
    </row>
    <row r="22" spans="1:10">
      <c r="A22" s="9" t="s">
        <v>156</v>
      </c>
      <c r="B22" s="9">
        <v>8192</v>
      </c>
      <c r="C22" s="9">
        <v>1024</v>
      </c>
      <c r="D22" s="9">
        <v>8</v>
      </c>
      <c r="E22" s="9">
        <v>160</v>
      </c>
      <c r="F22" s="11">
        <v>0.341199084316917</v>
      </c>
      <c r="G22" s="11">
        <v>349.387862340523</v>
      </c>
      <c r="H22" s="11">
        <v>3145.85555740198</v>
      </c>
      <c r="I22" s="11">
        <v>1663.36252861869</v>
      </c>
      <c r="J22" s="11">
        <v>21.2359509062378</v>
      </c>
    </row>
    <row r="23" spans="1:10">
      <c r="A23" s="9" t="s">
        <v>157</v>
      </c>
      <c r="B23" s="9">
        <v>8192</v>
      </c>
      <c r="C23" s="9">
        <v>1024</v>
      </c>
      <c r="D23" s="9">
        <v>16</v>
      </c>
      <c r="E23" s="9">
        <v>320</v>
      </c>
      <c r="F23" s="11">
        <v>0.482937735748083</v>
      </c>
      <c r="G23" s="11">
        <v>494.528241406037</v>
      </c>
      <c r="H23" s="11">
        <v>4452.68592359732</v>
      </c>
      <c r="I23" s="11">
        <v>2147.28795074996</v>
      </c>
      <c r="J23" s="11">
        <v>30.1302464580706</v>
      </c>
    </row>
    <row r="24" spans="1:10">
      <c r="A24" s="9" t="s">
        <v>158</v>
      </c>
      <c r="B24" s="9">
        <v>8192</v>
      </c>
      <c r="C24" s="9">
        <v>1024</v>
      </c>
      <c r="D24" s="9">
        <v>32</v>
      </c>
      <c r="E24" s="9">
        <v>640</v>
      </c>
      <c r="F24" s="11">
        <v>0.610701140709794</v>
      </c>
      <c r="G24" s="11">
        <v>625.357968086829</v>
      </c>
      <c r="H24" s="11">
        <v>5630.6645173443</v>
      </c>
      <c r="I24" s="11">
        <v>3221.46934111872</v>
      </c>
      <c r="J24" s="11">
        <v>47.9047300853296</v>
      </c>
    </row>
    <row r="25" spans="1:10">
      <c r="A25" s="9" t="s">
        <v>159</v>
      </c>
      <c r="B25" s="9">
        <v>8192</v>
      </c>
      <c r="C25" s="9">
        <v>1024</v>
      </c>
      <c r="D25" s="9">
        <v>64</v>
      </c>
      <c r="E25" s="9">
        <v>1280</v>
      </c>
      <c r="F25" s="11">
        <v>0.683794515899205</v>
      </c>
      <c r="G25" s="11">
        <v>700.205584280786</v>
      </c>
      <c r="H25" s="11">
        <v>6304.58543659067</v>
      </c>
      <c r="I25" s="11">
        <v>5331.09411558595</v>
      </c>
      <c r="J25" s="11">
        <v>86.1164326816181</v>
      </c>
    </row>
    <row r="26" spans="1:10">
      <c r="A26" s="9" t="s">
        <v>160</v>
      </c>
      <c r="B26" s="9">
        <v>8192</v>
      </c>
      <c r="C26" s="9">
        <v>1024</v>
      </c>
      <c r="D26" s="9">
        <v>128</v>
      </c>
      <c r="E26" s="9">
        <v>2560</v>
      </c>
      <c r="F26" s="11">
        <v>0.712700552690663</v>
      </c>
      <c r="G26" s="11">
        <v>729.805365955239</v>
      </c>
      <c r="H26" s="11">
        <v>6571.09909580791</v>
      </c>
      <c r="I26" s="11">
        <v>61313.9719947468</v>
      </c>
      <c r="J26" s="11">
        <v>114.108133418604</v>
      </c>
    </row>
    <row r="27" spans="1:10">
      <c r="A27" s="9" t="s">
        <v>161</v>
      </c>
      <c r="B27" s="9">
        <v>8192</v>
      </c>
      <c r="C27" s="9">
        <v>1024</v>
      </c>
      <c r="D27" s="9">
        <v>256</v>
      </c>
      <c r="E27" s="9">
        <v>5120</v>
      </c>
      <c r="F27" s="11">
        <v>0.714256400468455</v>
      </c>
      <c r="G27" s="11">
        <v>731.398554079698</v>
      </c>
      <c r="H27" s="11">
        <v>6585.44401231915</v>
      </c>
      <c r="I27" s="11">
        <v>235490.238061145</v>
      </c>
      <c r="J27" s="11">
        <v>114.972312908209</v>
      </c>
    </row>
    <row r="28" spans="1:10">
      <c r="A28" s="9" t="s">
        <v>162</v>
      </c>
      <c r="B28" s="9">
        <v>8192</v>
      </c>
      <c r="C28" s="9">
        <v>16384</v>
      </c>
      <c r="D28" s="9">
        <v>1</v>
      </c>
      <c r="E28" s="9">
        <v>16</v>
      </c>
      <c r="F28" s="11">
        <v>0.00543670884603953</v>
      </c>
      <c r="G28" s="11">
        <v>89.0750377335117</v>
      </c>
      <c r="H28" s="11">
        <v>133.634303435651</v>
      </c>
      <c r="I28" s="11">
        <v>907.669182376594</v>
      </c>
      <c r="J28" s="11">
        <v>11.1717565727163</v>
      </c>
    </row>
    <row r="29" spans="1:10">
      <c r="A29" s="9" t="s">
        <v>163</v>
      </c>
      <c r="B29" s="9">
        <v>8192</v>
      </c>
      <c r="C29" s="9">
        <v>16384</v>
      </c>
      <c r="D29" s="9">
        <v>2</v>
      </c>
      <c r="E29" s="9">
        <v>8</v>
      </c>
      <c r="F29" s="11">
        <v>0.0100806817752894</v>
      </c>
      <c r="G29" s="11">
        <v>165.161890206342</v>
      </c>
      <c r="H29" s="11">
        <v>247.783158036615</v>
      </c>
      <c r="I29" s="11">
        <v>1193.55590999657</v>
      </c>
      <c r="J29" s="11">
        <v>12.0256624461713</v>
      </c>
    </row>
    <row r="30" spans="1:10">
      <c r="A30" s="9" t="s">
        <v>66</v>
      </c>
      <c r="B30" s="9">
        <v>8192</v>
      </c>
      <c r="C30" s="9">
        <v>16384</v>
      </c>
      <c r="D30" s="9">
        <v>4</v>
      </c>
      <c r="E30" s="9">
        <v>16</v>
      </c>
      <c r="F30" s="11">
        <v>0.0180222108017444</v>
      </c>
      <c r="G30" s="11">
        <v>295.275901775781</v>
      </c>
      <c r="H30" s="11">
        <v>442.985941506879</v>
      </c>
      <c r="I30" s="11">
        <v>1506.56749774861</v>
      </c>
      <c r="J30" s="11">
        <v>13.4324094555484</v>
      </c>
    </row>
    <row r="31" spans="1:10">
      <c r="A31" s="9" t="s">
        <v>67</v>
      </c>
      <c r="B31" s="9">
        <v>8192</v>
      </c>
      <c r="C31" s="9">
        <v>16384</v>
      </c>
      <c r="D31" s="9">
        <v>8</v>
      </c>
      <c r="E31" s="9">
        <v>16</v>
      </c>
      <c r="F31" s="11">
        <v>0.0308278657292887</v>
      </c>
      <c r="G31" s="11">
        <v>505.083752108667</v>
      </c>
      <c r="H31" s="11">
        <v>757.748939625918</v>
      </c>
      <c r="I31" s="11">
        <v>3818.38921656253</v>
      </c>
      <c r="J31" s="11">
        <v>15.5685856112737</v>
      </c>
    </row>
    <row r="32" spans="1:10">
      <c r="A32" s="9" t="s">
        <v>68</v>
      </c>
      <c r="B32" s="9">
        <v>8192</v>
      </c>
      <c r="C32" s="9">
        <v>16384</v>
      </c>
      <c r="D32" s="9">
        <v>16</v>
      </c>
      <c r="E32" s="9">
        <v>32</v>
      </c>
      <c r="F32" s="11">
        <v>0.0513859308675806</v>
      </c>
      <c r="G32" s="11">
        <v>841.90709133444</v>
      </c>
      <c r="H32" s="11">
        <v>1263.06618072513</v>
      </c>
      <c r="I32" s="11">
        <v>5827.53439909538</v>
      </c>
      <c r="J32" s="11">
        <v>18.4546060796595</v>
      </c>
    </row>
    <row r="33" spans="1:10">
      <c r="A33" s="9" t="s">
        <v>69</v>
      </c>
      <c r="B33" s="9">
        <v>8192</v>
      </c>
      <c r="C33" s="9">
        <v>16384</v>
      </c>
      <c r="D33" s="9">
        <v>32</v>
      </c>
      <c r="E33" s="9">
        <v>64</v>
      </c>
      <c r="F33" s="11">
        <v>0.0767798981044503</v>
      </c>
      <c r="G33" s="11">
        <v>1257.96185054331</v>
      </c>
      <c r="H33" s="11">
        <v>1887.24989540739</v>
      </c>
      <c r="I33" s="11">
        <v>10028.1727820797</v>
      </c>
      <c r="J33" s="11">
        <v>24.500842308128</v>
      </c>
    </row>
    <row r="34" spans="1:10">
      <c r="A34" s="9" t="s">
        <v>71</v>
      </c>
      <c r="B34" s="9">
        <v>32768</v>
      </c>
      <c r="C34" s="9">
        <v>1024</v>
      </c>
      <c r="D34" s="9">
        <v>1</v>
      </c>
      <c r="E34" s="9">
        <v>32</v>
      </c>
      <c r="F34" s="11">
        <v>0.0624692589277057</v>
      </c>
      <c r="G34" s="11">
        <v>63.9685211419707</v>
      </c>
      <c r="H34" s="11">
        <v>2111.21107472074</v>
      </c>
      <c r="I34" s="11">
        <v>3970.92053949973</v>
      </c>
      <c r="J34" s="11">
        <v>11.7660870957051</v>
      </c>
    </row>
    <row r="35" spans="1:10">
      <c r="A35" s="9" t="s">
        <v>72</v>
      </c>
      <c r="B35" s="9">
        <v>32768</v>
      </c>
      <c r="C35" s="9">
        <v>1024</v>
      </c>
      <c r="D35" s="9">
        <v>2</v>
      </c>
      <c r="E35" s="9">
        <v>32</v>
      </c>
      <c r="F35" s="11">
        <v>0.0934923664288229</v>
      </c>
      <c r="G35" s="11">
        <v>95.7361832231147</v>
      </c>
      <c r="H35" s="11">
        <v>3159.6680158285</v>
      </c>
      <c r="I35" s="11">
        <v>4751.03394971847</v>
      </c>
      <c r="J35" s="11">
        <v>16.2302148336082</v>
      </c>
    </row>
    <row r="36" spans="1:10">
      <c r="A36" s="9" t="s">
        <v>73</v>
      </c>
      <c r="B36" s="9">
        <v>32768</v>
      </c>
      <c r="C36" s="9">
        <v>1024</v>
      </c>
      <c r="D36" s="9">
        <v>4</v>
      </c>
      <c r="E36" s="9">
        <v>32</v>
      </c>
      <c r="F36" s="11">
        <v>0.125562223569216</v>
      </c>
      <c r="G36" s="11">
        <v>128.575716934877</v>
      </c>
      <c r="H36" s="11">
        <v>4243.50090774523</v>
      </c>
      <c r="I36" s="11">
        <v>7032.53927309378</v>
      </c>
      <c r="J36" s="11">
        <v>24.0519183163182</v>
      </c>
    </row>
    <row r="37" spans="1:10">
      <c r="A37" s="9" t="s">
        <v>74</v>
      </c>
      <c r="B37" s="9">
        <v>32768</v>
      </c>
      <c r="C37" s="9">
        <v>1024</v>
      </c>
      <c r="D37" s="9">
        <v>8</v>
      </c>
      <c r="E37" s="9">
        <v>32</v>
      </c>
      <c r="F37" s="11">
        <v>0.147549086914726</v>
      </c>
      <c r="G37" s="11">
        <v>151.090265000679</v>
      </c>
      <c r="H37" s="11">
        <v>4986.56894137009</v>
      </c>
      <c r="I37" s="11">
        <v>13222.9317717833</v>
      </c>
      <c r="J37" s="11">
        <v>39.8608858273467</v>
      </c>
    </row>
    <row r="38" spans="1:10">
      <c r="A38" s="9" t="s">
        <v>75</v>
      </c>
      <c r="B38" s="9">
        <v>32768</v>
      </c>
      <c r="C38" s="9">
        <v>1024</v>
      </c>
      <c r="D38" s="9">
        <v>16</v>
      </c>
      <c r="E38" s="9">
        <v>64</v>
      </c>
      <c r="F38" s="11">
        <v>0.169784708587023</v>
      </c>
      <c r="G38" s="11">
        <v>173.859541593111</v>
      </c>
      <c r="H38" s="11">
        <v>5738.04401140704</v>
      </c>
      <c r="I38" s="11">
        <v>18743.1675752807</v>
      </c>
      <c r="J38" s="11">
        <v>73.3138387951034</v>
      </c>
    </row>
    <row r="39" spans="1:10">
      <c r="A39" s="9" t="s">
        <v>76</v>
      </c>
      <c r="B39" s="9">
        <v>32768</v>
      </c>
      <c r="C39" s="9">
        <v>1024</v>
      </c>
      <c r="D39" s="9">
        <v>32</v>
      </c>
      <c r="E39" s="9">
        <v>128</v>
      </c>
      <c r="F39" s="11">
        <v>0.178839098878282</v>
      </c>
      <c r="G39" s="11">
        <v>183.13123725136</v>
      </c>
      <c r="H39" s="11">
        <v>6044.04618569042</v>
      </c>
      <c r="I39" s="11">
        <v>29851.2615858286</v>
      </c>
      <c r="J39" s="11">
        <v>145.065908774468</v>
      </c>
    </row>
    <row r="40" spans="1:10">
      <c r="A40" s="9" t="s">
        <v>77</v>
      </c>
      <c r="B40" s="9">
        <v>32768</v>
      </c>
      <c r="C40" s="9">
        <v>1024</v>
      </c>
      <c r="D40" s="9">
        <v>64</v>
      </c>
      <c r="E40" s="9">
        <v>256</v>
      </c>
      <c r="F40" s="11">
        <v>0.184694120255305</v>
      </c>
      <c r="G40" s="11">
        <v>189.126779141432</v>
      </c>
      <c r="H40" s="11">
        <v>6241.9224881483</v>
      </c>
      <c r="I40" s="11">
        <v>171051.353328171</v>
      </c>
      <c r="J40" s="11">
        <v>157.818808127299</v>
      </c>
    </row>
    <row r="41" spans="1:10">
      <c r="A41" s="9" t="s">
        <v>78</v>
      </c>
      <c r="B41" s="9">
        <v>32768</v>
      </c>
      <c r="C41" s="9">
        <v>16384</v>
      </c>
      <c r="D41" s="9">
        <v>1</v>
      </c>
      <c r="E41" s="9">
        <v>4</v>
      </c>
      <c r="F41" s="11">
        <v>0.0052028868513167</v>
      </c>
      <c r="G41" s="11">
        <v>85.2440981719728</v>
      </c>
      <c r="H41" s="11">
        <v>255.753106063323</v>
      </c>
      <c r="I41" s="11">
        <v>3979.39537574711</v>
      </c>
      <c r="J41" s="11">
        <v>11.4888185364859</v>
      </c>
    </row>
    <row r="42" spans="1:10">
      <c r="A42" s="9" t="s">
        <v>79</v>
      </c>
      <c r="B42" s="9">
        <v>32768</v>
      </c>
      <c r="C42" s="9">
        <v>16384</v>
      </c>
      <c r="D42" s="9">
        <v>2</v>
      </c>
      <c r="E42" s="9">
        <v>8</v>
      </c>
      <c r="F42" s="11">
        <v>0.00956111717984632</v>
      </c>
      <c r="G42" s="11">
        <v>156.649343874602</v>
      </c>
      <c r="H42" s="11">
        <v>469.986276092526</v>
      </c>
      <c r="I42" s="11">
        <v>5061.36320312543</v>
      </c>
      <c r="J42" s="11">
        <v>12.4431646946684</v>
      </c>
    </row>
    <row r="43" spans="1:10">
      <c r="A43" s="9" t="s">
        <v>80</v>
      </c>
      <c r="B43" s="9">
        <v>32768</v>
      </c>
      <c r="C43" s="9">
        <v>16384</v>
      </c>
      <c r="D43" s="9">
        <v>4</v>
      </c>
      <c r="E43" s="9">
        <v>16</v>
      </c>
      <c r="F43" s="11">
        <v>0.0165339949389765</v>
      </c>
      <c r="G43" s="11">
        <v>270.892973080191</v>
      </c>
      <c r="H43" s="11">
        <v>812.74505522033</v>
      </c>
      <c r="I43" s="11">
        <v>7405.9190333146</v>
      </c>
      <c r="J43" s="11">
        <v>14.2487555194598</v>
      </c>
    </row>
    <row r="44" spans="1:10">
      <c r="A44" s="9" t="s">
        <v>81</v>
      </c>
      <c r="B44" s="9">
        <v>32768</v>
      </c>
      <c r="C44" s="9">
        <v>16384</v>
      </c>
      <c r="D44" s="9">
        <v>8</v>
      </c>
      <c r="E44" s="9">
        <v>16</v>
      </c>
      <c r="F44" s="11">
        <v>0.0262049650082712</v>
      </c>
      <c r="G44" s="11">
        <v>429.342146695516</v>
      </c>
      <c r="H44" s="11">
        <v>1288.13125994658</v>
      </c>
      <c r="I44" s="11">
        <v>15327.4893040625</v>
      </c>
      <c r="J44" s="11">
        <v>17.6744860292948</v>
      </c>
    </row>
    <row r="45" spans="1:10">
      <c r="A45" s="9" t="s">
        <v>82</v>
      </c>
      <c r="B45" s="9">
        <v>32768</v>
      </c>
      <c r="C45" s="9">
        <v>16384</v>
      </c>
      <c r="D45" s="9">
        <v>16</v>
      </c>
      <c r="E45" s="9">
        <v>32</v>
      </c>
      <c r="F45" s="11">
        <v>0.0402749657052994</v>
      </c>
      <c r="G45" s="11">
        <v>659.865038115626</v>
      </c>
      <c r="H45" s="11">
        <v>1979.7562142097</v>
      </c>
      <c r="I45" s="11">
        <v>25387.3163666571</v>
      </c>
      <c r="J45" s="11">
        <v>22.5357623509888</v>
      </c>
    </row>
    <row r="46" spans="1:10">
      <c r="A46" s="9" t="s">
        <v>83</v>
      </c>
      <c r="B46" s="9">
        <v>32768</v>
      </c>
      <c r="C46" s="9">
        <v>16384</v>
      </c>
      <c r="D46" s="9">
        <v>32</v>
      </c>
      <c r="E46" s="9">
        <v>64</v>
      </c>
      <c r="F46" s="11">
        <v>0.0548849333794446</v>
      </c>
      <c r="G46" s="11">
        <v>899.23474848882</v>
      </c>
      <c r="H46" s="11">
        <v>2697.92378519997</v>
      </c>
      <c r="I46" s="11">
        <v>53937.6525774371</v>
      </c>
      <c r="J46" s="11">
        <v>32.1211093561017</v>
      </c>
    </row>
    <row r="47" spans="1:10">
      <c r="A47" s="9" t="s">
        <v>84</v>
      </c>
      <c r="B47" s="9">
        <v>65536</v>
      </c>
      <c r="C47" s="9">
        <v>1024</v>
      </c>
      <c r="D47" s="9">
        <v>1</v>
      </c>
      <c r="E47" s="9">
        <v>16</v>
      </c>
      <c r="F47" s="11">
        <v>0.0468521028578427</v>
      </c>
      <c r="G47" s="11">
        <v>47.9765533264309</v>
      </c>
      <c r="H47" s="11">
        <v>3118.66337462944</v>
      </c>
      <c r="I47" s="11">
        <v>9333.58542237601</v>
      </c>
      <c r="J47" s="11">
        <v>11.7399001636123</v>
      </c>
    </row>
    <row r="48" spans="1:10">
      <c r="A48" s="9" t="s">
        <v>85</v>
      </c>
      <c r="B48" s="9">
        <v>65536</v>
      </c>
      <c r="C48" s="9">
        <v>1024</v>
      </c>
      <c r="D48" s="9">
        <v>2</v>
      </c>
      <c r="E48" s="9">
        <v>16</v>
      </c>
      <c r="F48" s="11">
        <v>0.0612268830177937</v>
      </c>
      <c r="G48" s="11">
        <v>62.6963282102207</v>
      </c>
      <c r="H48" s="11">
        <v>4075.50624119642</v>
      </c>
      <c r="I48" s="11">
        <v>14529.4143146238</v>
      </c>
      <c r="J48" s="11">
        <v>17.7252197619736</v>
      </c>
    </row>
    <row r="49" spans="1:10">
      <c r="A49" s="9" t="s">
        <v>86</v>
      </c>
      <c r="B49" s="9">
        <v>65536</v>
      </c>
      <c r="C49" s="9">
        <v>1024</v>
      </c>
      <c r="D49" s="9">
        <v>4</v>
      </c>
      <c r="E49" s="9">
        <v>16</v>
      </c>
      <c r="F49" s="11">
        <v>0.0711566460771916</v>
      </c>
      <c r="G49" s="11">
        <v>72.8644055830442</v>
      </c>
      <c r="H49" s="11">
        <v>4736.47098948218</v>
      </c>
      <c r="I49" s="11">
        <v>19378.5757513123</v>
      </c>
      <c r="J49" s="11">
        <v>35.6445779093354</v>
      </c>
    </row>
    <row r="50" spans="1:10">
      <c r="A50" s="9" t="s">
        <v>87</v>
      </c>
      <c r="B50" s="9">
        <v>65536</v>
      </c>
      <c r="C50" s="9">
        <v>1024</v>
      </c>
      <c r="D50" s="9">
        <v>8</v>
      </c>
      <c r="E50" s="9">
        <v>16</v>
      </c>
      <c r="F50" s="11">
        <v>0.0800451569029481</v>
      </c>
      <c r="G50" s="11">
        <v>81.9662406686189</v>
      </c>
      <c r="H50" s="11">
        <v>5328.12582408784</v>
      </c>
      <c r="I50" s="11">
        <v>36391.6287252486</v>
      </c>
      <c r="J50" s="11">
        <v>61.5992068899073</v>
      </c>
    </row>
    <row r="51" spans="1:10">
      <c r="A51" s="9" t="s">
        <v>88</v>
      </c>
      <c r="B51" s="9">
        <v>65536</v>
      </c>
      <c r="C51" s="9">
        <v>1024</v>
      </c>
      <c r="D51" s="9">
        <v>16</v>
      </c>
      <c r="E51" s="9">
        <v>32</v>
      </c>
      <c r="F51" s="11">
        <v>0.0857872789466884</v>
      </c>
      <c r="G51" s="11">
        <v>87.8461736414089</v>
      </c>
      <c r="H51" s="11">
        <v>5710.34443580736</v>
      </c>
      <c r="I51" s="11">
        <v>60927.1395608757</v>
      </c>
      <c r="J51" s="11">
        <v>121.838735482098</v>
      </c>
    </row>
    <row r="52" spans="1:10">
      <c r="A52" s="9" t="s">
        <v>89</v>
      </c>
      <c r="B52" s="9">
        <v>65536</v>
      </c>
      <c r="C52" s="9">
        <v>1024</v>
      </c>
      <c r="D52" s="9">
        <v>32</v>
      </c>
      <c r="E52" s="9">
        <v>64</v>
      </c>
      <c r="F52" s="11">
        <v>0.0850517685215874</v>
      </c>
      <c r="G52" s="11">
        <v>87.0930109661055</v>
      </c>
      <c r="H52" s="11">
        <v>5661.38591987094</v>
      </c>
      <c r="I52" s="11">
        <v>180799.597289063</v>
      </c>
      <c r="J52" s="11">
        <v>164.021393946327</v>
      </c>
    </row>
    <row r="53" spans="1:10">
      <c r="A53" s="9" t="s">
        <v>90</v>
      </c>
      <c r="B53" s="9">
        <v>65536</v>
      </c>
      <c r="C53" s="9">
        <v>1024</v>
      </c>
      <c r="D53" s="9">
        <v>64</v>
      </c>
      <c r="E53" s="9">
        <v>128</v>
      </c>
      <c r="F53" s="11">
        <v>0.0846967698161858</v>
      </c>
      <c r="G53" s="11">
        <v>86.7294922917742</v>
      </c>
      <c r="H53" s="11">
        <v>5637.75578604459</v>
      </c>
      <c r="I53" s="11">
        <v>463488.246666891</v>
      </c>
      <c r="J53" s="11">
        <v>178.484093299027</v>
      </c>
    </row>
    <row r="54" spans="1:10">
      <c r="A54" s="9" t="s">
        <v>164</v>
      </c>
      <c r="B54" s="9">
        <v>131072</v>
      </c>
      <c r="C54" s="9">
        <v>1024</v>
      </c>
      <c r="D54" s="9">
        <v>1</v>
      </c>
      <c r="E54" s="9">
        <v>8</v>
      </c>
      <c r="F54" s="11">
        <v>0.027681543113347</v>
      </c>
      <c r="G54" s="11">
        <v>28.3459001480674</v>
      </c>
      <c r="H54" s="11">
        <v>3656.73184527314</v>
      </c>
      <c r="I54" s="11">
        <v>24188.4901828725</v>
      </c>
      <c r="J54" s="11">
        <v>11.6680300362973</v>
      </c>
    </row>
    <row r="55" spans="1:10">
      <c r="A55" s="9" t="s">
        <v>165</v>
      </c>
      <c r="B55" s="9">
        <v>131072</v>
      </c>
      <c r="C55" s="9">
        <v>1024</v>
      </c>
      <c r="D55" s="9">
        <v>2</v>
      </c>
      <c r="E55" s="9">
        <v>16</v>
      </c>
      <c r="F55" s="11">
        <v>0.0312498763961194</v>
      </c>
      <c r="G55" s="11">
        <v>31.9998734296263</v>
      </c>
      <c r="H55" s="11">
        <v>4128.10867192738</v>
      </c>
      <c r="I55" s="11">
        <v>37334.9515369373</v>
      </c>
      <c r="J55" s="11">
        <v>26.0538946725959</v>
      </c>
    </row>
    <row r="56" spans="1:10">
      <c r="A56" s="9" t="s">
        <v>166</v>
      </c>
      <c r="B56" s="9">
        <v>131072</v>
      </c>
      <c r="C56" s="9">
        <v>1024</v>
      </c>
      <c r="D56" s="9">
        <v>4</v>
      </c>
      <c r="E56" s="9">
        <v>16</v>
      </c>
      <c r="F56" s="11">
        <v>0.0332262651932353</v>
      </c>
      <c r="G56" s="11">
        <v>34.023695557873</v>
      </c>
      <c r="H56" s="11">
        <v>4389.18963202639</v>
      </c>
      <c r="I56" s="11">
        <v>50738.3415175609</v>
      </c>
      <c r="J56" s="11">
        <v>67.8330657138346</v>
      </c>
    </row>
    <row r="57" spans="1:10">
      <c r="A57" s="9" t="s">
        <v>167</v>
      </c>
      <c r="B57" s="9">
        <v>131072</v>
      </c>
      <c r="C57" s="9">
        <v>1024</v>
      </c>
      <c r="D57" s="9">
        <v>8</v>
      </c>
      <c r="E57" s="9">
        <v>16</v>
      </c>
      <c r="F57" s="11">
        <v>0.0348870199855533</v>
      </c>
      <c r="G57" s="11">
        <v>35.7243084652066</v>
      </c>
      <c r="H57" s="11">
        <v>4608.57534009159</v>
      </c>
      <c r="I57" s="11">
        <v>82946.9762572498</v>
      </c>
      <c r="J57" s="11">
        <v>142.186607824416</v>
      </c>
    </row>
    <row r="58" spans="1:10">
      <c r="A58" s="9" t="s">
        <v>168</v>
      </c>
      <c r="B58" s="9">
        <v>131072</v>
      </c>
      <c r="C58" s="9">
        <v>1024</v>
      </c>
      <c r="D58" s="9">
        <v>16</v>
      </c>
      <c r="E58" s="9">
        <v>32</v>
      </c>
      <c r="F58" s="11">
        <v>0.0350323247117879</v>
      </c>
      <c r="G58" s="11">
        <v>35.8731005048708</v>
      </c>
      <c r="H58" s="11">
        <v>4627.77009442719</v>
      </c>
      <c r="I58" s="11">
        <v>229523.372036655</v>
      </c>
      <c r="J58" s="11">
        <v>189.871594307062</v>
      </c>
    </row>
    <row r="59" spans="1:10">
      <c r="A59" s="9" t="s">
        <v>169</v>
      </c>
      <c r="B59" s="9">
        <v>131072</v>
      </c>
      <c r="C59" s="9">
        <v>1024</v>
      </c>
      <c r="D59" s="9">
        <v>32</v>
      </c>
      <c r="E59" s="9">
        <v>64</v>
      </c>
      <c r="F59" s="11">
        <v>0.0352136399271281</v>
      </c>
      <c r="G59" s="11">
        <v>36.0587672853792</v>
      </c>
      <c r="H59" s="11">
        <v>4651.72183437363</v>
      </c>
      <c r="I59" s="11">
        <v>568010.056782048</v>
      </c>
      <c r="J59" s="11">
        <v>205.846391976814</v>
      </c>
    </row>
    <row r="71" spans="1:6">
      <c r="A71" s="64" t="s">
        <v>170</v>
      </c>
      <c r="B71" s="64" t="s">
        <v>171</v>
      </c>
      <c r="C71" s="65"/>
      <c r="D71" s="65"/>
      <c r="E71" s="64" t="s">
        <v>170</v>
      </c>
      <c r="F71" s="64" t="s">
        <v>172</v>
      </c>
    </row>
    <row r="72" ht="27" spans="1:6">
      <c r="A72" s="66" t="s">
        <v>173</v>
      </c>
      <c r="B72" s="66" t="s">
        <v>174</v>
      </c>
      <c r="C72" s="65"/>
      <c r="D72" s="65"/>
      <c r="E72" s="66" t="s">
        <v>175</v>
      </c>
      <c r="F72" s="66" t="s">
        <v>176</v>
      </c>
    </row>
    <row r="73" ht="27" spans="1:6">
      <c r="A73" s="66" t="s">
        <v>177</v>
      </c>
      <c r="B73" s="66" t="s">
        <v>178</v>
      </c>
      <c r="C73" s="65"/>
      <c r="D73" s="65"/>
      <c r="E73" s="66" t="s">
        <v>179</v>
      </c>
      <c r="F73" s="66" t="s">
        <v>180</v>
      </c>
    </row>
    <row r="74" ht="54" spans="1:6">
      <c r="A74" s="66" t="s">
        <v>181</v>
      </c>
      <c r="B74" s="66" t="s">
        <v>182</v>
      </c>
      <c r="C74" s="65"/>
      <c r="D74" s="65"/>
      <c r="E74" s="66" t="s">
        <v>183</v>
      </c>
      <c r="F74" s="66" t="s">
        <v>184</v>
      </c>
    </row>
    <row r="75" ht="27" spans="1:6">
      <c r="A75" s="66" t="s">
        <v>185</v>
      </c>
      <c r="B75" s="66" t="s">
        <v>186</v>
      </c>
      <c r="C75" s="65"/>
      <c r="D75" s="65"/>
      <c r="E75" s="66" t="s">
        <v>187</v>
      </c>
      <c r="F75" s="66" t="s">
        <v>188</v>
      </c>
    </row>
    <row r="76" ht="27" spans="1:6">
      <c r="A76" s="66" t="s">
        <v>189</v>
      </c>
      <c r="B76" s="66" t="s">
        <v>190</v>
      </c>
      <c r="C76" s="65"/>
      <c r="D76" s="65"/>
      <c r="E76" s="66" t="s">
        <v>191</v>
      </c>
      <c r="F76" s="66"/>
    </row>
    <row r="77" ht="54" spans="1:6">
      <c r="A77" s="66" t="s">
        <v>192</v>
      </c>
      <c r="B77" s="66" t="s">
        <v>193</v>
      </c>
      <c r="C77" s="65"/>
      <c r="D77" s="65"/>
      <c r="E77" s="66" t="s">
        <v>194</v>
      </c>
      <c r="F77" s="66" t="s">
        <v>195</v>
      </c>
    </row>
    <row r="78" spans="1:6">
      <c r="A78" s="66" t="s">
        <v>196</v>
      </c>
      <c r="B78" s="66" t="s">
        <v>197</v>
      </c>
      <c r="C78" s="65"/>
      <c r="D78" s="65"/>
      <c r="E78" s="65"/>
      <c r="F78" s="65"/>
    </row>
    <row r="79" ht="27" spans="1:6">
      <c r="A79" s="66" t="s">
        <v>198</v>
      </c>
      <c r="B79" s="66" t="s">
        <v>199</v>
      </c>
      <c r="C79" s="65"/>
      <c r="D79" s="65"/>
      <c r="E79" s="65"/>
      <c r="F79" s="65"/>
    </row>
    <row r="80" ht="27" spans="1:6">
      <c r="A80" s="66" t="s">
        <v>200</v>
      </c>
      <c r="B80" s="66" t="s">
        <v>201</v>
      </c>
      <c r="C80" s="65"/>
      <c r="D80" s="65"/>
      <c r="E80" s="65"/>
      <c r="F80" s="65"/>
    </row>
  </sheetData>
  <sheetProtection formatCells="0" formatColumns="0" formatRows="0" insertRows="0" insertColumns="0" insertHyperlinks="0" deleteColumns="0" deleteRows="0" sort="0" autoFilter="0" pivotTables="0"/>
  <sortState ref="A2:BY59">
    <sortCondition ref="B2:B59"/>
    <sortCondition ref="C2:C59"/>
    <sortCondition ref="D2:D59"/>
  </sortState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0"/>
  <sheetViews>
    <sheetView zoomScale="102" zoomScaleNormal="102" workbookViewId="0">
      <selection activeCell="A11" sqref="$A11:$XFD11"/>
    </sheetView>
  </sheetViews>
  <sheetFormatPr defaultColWidth="9.23333333333333" defaultRowHeight="13.5"/>
  <cols>
    <col min="1" max="1" width="40.875" customWidth="1"/>
    <col min="6" max="6" width="12.925"/>
    <col min="7" max="8" width="15.2333333333333"/>
    <col min="9" max="9" width="17.4583333333333"/>
    <col min="10" max="10" width="14.15"/>
  </cols>
  <sheetData>
    <row r="1" s="62" customFormat="1" ht="40.5" spans="1:10">
      <c r="A1" s="13" t="s">
        <v>11</v>
      </c>
      <c r="B1" s="13" t="s">
        <v>202</v>
      </c>
      <c r="C1" s="13" t="s">
        <v>203</v>
      </c>
      <c r="D1" s="13" t="s">
        <v>204</v>
      </c>
      <c r="E1" s="13" t="s">
        <v>12</v>
      </c>
      <c r="F1" s="13" t="s">
        <v>205</v>
      </c>
      <c r="G1" s="13" t="s">
        <v>206</v>
      </c>
      <c r="H1" s="13" t="s">
        <v>207</v>
      </c>
      <c r="I1" s="13" t="s">
        <v>208</v>
      </c>
      <c r="J1" s="13" t="s">
        <v>209</v>
      </c>
    </row>
    <row r="2" spans="1:10">
      <c r="A2" s="9" t="s">
        <v>38</v>
      </c>
      <c r="B2" s="9">
        <v>1024</v>
      </c>
      <c r="C2" s="9">
        <v>1024</v>
      </c>
      <c r="D2" s="9">
        <v>1</v>
      </c>
      <c r="E2" s="9">
        <v>32</v>
      </c>
      <c r="F2" s="11">
        <v>0.0403611481455611</v>
      </c>
      <c r="G2" s="11">
        <v>41.3298157010546</v>
      </c>
      <c r="H2" s="11">
        <v>82.6596314021092</v>
      </c>
      <c r="I2" s="11">
        <v>236.408106188264</v>
      </c>
      <c r="J2" s="11">
        <v>23.987959012555</v>
      </c>
    </row>
    <row r="3" spans="1:10">
      <c r="A3" s="9" t="s">
        <v>39</v>
      </c>
      <c r="B3" s="9">
        <v>1024</v>
      </c>
      <c r="C3" s="9">
        <v>1024</v>
      </c>
      <c r="D3" s="9">
        <v>2</v>
      </c>
      <c r="E3" s="9">
        <v>32</v>
      </c>
      <c r="F3" s="11">
        <v>0.0752320232387428</v>
      </c>
      <c r="G3" s="11">
        <v>77.0375917964726</v>
      </c>
      <c r="H3" s="11">
        <v>154.075183592945</v>
      </c>
      <c r="I3" s="11">
        <v>322.71756959517</v>
      </c>
      <c r="J3" s="11">
        <v>25.5730707294418</v>
      </c>
    </row>
    <row r="4" spans="1:10">
      <c r="A4" s="9" t="s">
        <v>40</v>
      </c>
      <c r="B4" s="9">
        <v>1024</v>
      </c>
      <c r="C4" s="9">
        <v>1024</v>
      </c>
      <c r="D4" s="9">
        <v>4</v>
      </c>
      <c r="E4" s="9">
        <v>32</v>
      </c>
      <c r="F4" s="11">
        <v>0.144786832633834</v>
      </c>
      <c r="G4" s="11">
        <v>148.261716617046</v>
      </c>
      <c r="H4" s="11">
        <v>296.523433234092</v>
      </c>
      <c r="I4" s="11">
        <v>356.697964248724</v>
      </c>
      <c r="J4" s="11">
        <v>25.3994562913617</v>
      </c>
    </row>
    <row r="5" spans="1:10">
      <c r="A5" s="9" t="s">
        <v>41</v>
      </c>
      <c r="B5" s="9">
        <v>1024</v>
      </c>
      <c r="C5" s="9">
        <v>1024</v>
      </c>
      <c r="D5" s="9">
        <v>8</v>
      </c>
      <c r="E5" s="9">
        <v>32</v>
      </c>
      <c r="F5" s="11">
        <v>0.240641111312343</v>
      </c>
      <c r="G5" s="11">
        <v>246.416497983839</v>
      </c>
      <c r="H5" s="11">
        <v>492.832995967679</v>
      </c>
      <c r="I5" s="11">
        <v>803.703540720562</v>
      </c>
      <c r="J5" s="11">
        <v>29.95128008596</v>
      </c>
    </row>
    <row r="6" spans="1:10">
      <c r="A6" s="9" t="s">
        <v>42</v>
      </c>
      <c r="B6" s="9">
        <v>1024</v>
      </c>
      <c r="C6" s="9">
        <v>1024</v>
      </c>
      <c r="D6" s="9">
        <v>16</v>
      </c>
      <c r="E6" s="9">
        <v>64</v>
      </c>
      <c r="F6" s="11">
        <v>0.364424622387312</v>
      </c>
      <c r="G6" s="11">
        <v>373.170813324608</v>
      </c>
      <c r="H6" s="11">
        <v>746.341626649216</v>
      </c>
      <c r="I6" s="11">
        <v>1472.61473609319</v>
      </c>
      <c r="J6" s="11">
        <v>39.2599131088719</v>
      </c>
    </row>
    <row r="7" spans="1:10">
      <c r="A7" s="9" t="s">
        <v>43</v>
      </c>
      <c r="B7" s="9">
        <v>1024</v>
      </c>
      <c r="C7" s="9">
        <v>1024</v>
      </c>
      <c r="D7" s="9">
        <v>32</v>
      </c>
      <c r="E7" s="9">
        <v>128</v>
      </c>
      <c r="F7" s="11">
        <v>0.172268842034361</v>
      </c>
      <c r="G7" s="11">
        <v>176.403294243186</v>
      </c>
      <c r="H7" s="11">
        <v>352.806588486372</v>
      </c>
      <c r="I7" s="11">
        <v>2634.41750221841</v>
      </c>
      <c r="J7" s="11">
        <v>174.459462301999</v>
      </c>
    </row>
    <row r="8" spans="1:10">
      <c r="A8" s="9" t="s">
        <v>44</v>
      </c>
      <c r="B8" s="9">
        <v>1024</v>
      </c>
      <c r="C8" s="9">
        <v>1024</v>
      </c>
      <c r="D8" s="9">
        <v>64</v>
      </c>
      <c r="E8" s="9">
        <v>256</v>
      </c>
      <c r="F8" s="11">
        <v>0.30400841308111</v>
      </c>
      <c r="G8" s="11">
        <v>311.304614995057</v>
      </c>
      <c r="H8" s="11">
        <v>622.609229990115</v>
      </c>
      <c r="I8" s="11">
        <v>5508.18660255447</v>
      </c>
      <c r="J8" s="11">
        <v>189.997106194564</v>
      </c>
    </row>
    <row r="9" spans="1:10">
      <c r="A9" s="9" t="s">
        <v>45</v>
      </c>
      <c r="B9" s="9">
        <v>1024</v>
      </c>
      <c r="C9" s="9">
        <v>1024</v>
      </c>
      <c r="D9" s="9">
        <v>128</v>
      </c>
      <c r="E9" s="9">
        <v>512</v>
      </c>
      <c r="F9" s="11">
        <v>0.516453849313993</v>
      </c>
      <c r="G9" s="11">
        <v>528.848741697528</v>
      </c>
      <c r="H9" s="11">
        <v>1057.69748339505</v>
      </c>
      <c r="I9" s="11">
        <v>10328.5815336562</v>
      </c>
      <c r="J9" s="11">
        <v>214.318634039035</v>
      </c>
    </row>
    <row r="10" spans="1:10">
      <c r="A10" s="9" t="s">
        <v>46</v>
      </c>
      <c r="B10" s="9">
        <v>1024</v>
      </c>
      <c r="C10" s="9">
        <v>1024</v>
      </c>
      <c r="D10" s="9">
        <v>256</v>
      </c>
      <c r="E10" s="9">
        <v>1024</v>
      </c>
      <c r="F10" s="11">
        <v>0.773223880611632</v>
      </c>
      <c r="G10" s="11">
        <v>791.781253746311</v>
      </c>
      <c r="H10" s="11">
        <v>1583.56250749262</v>
      </c>
      <c r="I10" s="11">
        <v>37538.8286336485</v>
      </c>
      <c r="J10" s="11">
        <v>262.709118756836</v>
      </c>
    </row>
    <row r="11" spans="1:10">
      <c r="A11" s="9" t="s">
        <v>47</v>
      </c>
      <c r="B11" s="9">
        <v>1024</v>
      </c>
      <c r="C11" s="9">
        <v>1024</v>
      </c>
      <c r="D11" s="9">
        <v>512</v>
      </c>
      <c r="E11" s="9">
        <v>2048</v>
      </c>
      <c r="F11" s="11">
        <v>1.04933052358906</v>
      </c>
      <c r="G11" s="11">
        <v>1074.5144561552</v>
      </c>
      <c r="H11" s="11">
        <v>2149.02891231041</v>
      </c>
      <c r="I11" s="11">
        <v>191199.59207721</v>
      </c>
      <c r="J11" s="11">
        <v>241.045528145461</v>
      </c>
    </row>
    <row r="12" spans="1:10">
      <c r="A12" s="9" t="s">
        <v>151</v>
      </c>
      <c r="B12" s="9">
        <v>1024</v>
      </c>
      <c r="C12" s="9">
        <v>16384</v>
      </c>
      <c r="D12" s="9">
        <v>1</v>
      </c>
      <c r="E12" s="9">
        <v>16</v>
      </c>
      <c r="F12" s="11">
        <v>0.00291930615349154</v>
      </c>
      <c r="G12" s="11">
        <v>47.8299120188055</v>
      </c>
      <c r="H12" s="11">
        <v>50.8192815199808</v>
      </c>
      <c r="I12" s="11">
        <v>240.848492374425</v>
      </c>
      <c r="J12" s="11">
        <v>20.8939562428774</v>
      </c>
    </row>
    <row r="13" spans="1:10">
      <c r="A13" s="9" t="s">
        <v>152</v>
      </c>
      <c r="B13" s="9">
        <v>1024</v>
      </c>
      <c r="C13" s="9">
        <v>16384</v>
      </c>
      <c r="D13" s="9">
        <v>2</v>
      </c>
      <c r="E13" s="9">
        <v>8</v>
      </c>
      <c r="F13" s="11">
        <v>0.00570987235886586</v>
      </c>
      <c r="G13" s="11">
        <v>93.5505487276583</v>
      </c>
      <c r="H13" s="11">
        <v>99.397458023137</v>
      </c>
      <c r="I13" s="11">
        <v>340.945876250771</v>
      </c>
      <c r="J13" s="11">
        <v>21.1234594672908</v>
      </c>
    </row>
    <row r="14" spans="1:10">
      <c r="A14" s="9" t="s">
        <v>50</v>
      </c>
      <c r="B14" s="9">
        <v>1024</v>
      </c>
      <c r="C14" s="9">
        <v>16384</v>
      </c>
      <c r="D14" s="9">
        <v>4</v>
      </c>
      <c r="E14" s="9">
        <v>16</v>
      </c>
      <c r="F14" s="11">
        <v>0.00961924602731417</v>
      </c>
      <c r="G14" s="11">
        <v>157.601726911515</v>
      </c>
      <c r="H14" s="11">
        <v>167.451834843485</v>
      </c>
      <c r="I14" s="11">
        <v>411.229584688953</v>
      </c>
      <c r="J14" s="11">
        <v>23.2972678918961</v>
      </c>
    </row>
    <row r="15" spans="1:10">
      <c r="A15" s="9" t="s">
        <v>51</v>
      </c>
      <c r="B15" s="9">
        <v>1024</v>
      </c>
      <c r="C15" s="9">
        <v>16384</v>
      </c>
      <c r="D15" s="9">
        <v>8</v>
      </c>
      <c r="E15" s="9">
        <v>16</v>
      </c>
      <c r="F15" s="11">
        <v>0.0173713282033091</v>
      </c>
      <c r="G15" s="11">
        <v>284.611841283017</v>
      </c>
      <c r="H15" s="11">
        <v>302.400081363206</v>
      </c>
      <c r="I15" s="11">
        <v>625.941867375331</v>
      </c>
      <c r="J15" s="11">
        <v>25.2612856256753</v>
      </c>
    </row>
    <row r="16" spans="1:10">
      <c r="A16" s="9" t="s">
        <v>52</v>
      </c>
      <c r="B16" s="9">
        <v>1024</v>
      </c>
      <c r="C16" s="9">
        <v>16384</v>
      </c>
      <c r="D16" s="9">
        <v>16</v>
      </c>
      <c r="E16" s="9">
        <v>32</v>
      </c>
      <c r="F16" s="11">
        <v>0.030160829804755</v>
      </c>
      <c r="G16" s="11">
        <v>494.155035521106</v>
      </c>
      <c r="H16" s="11">
        <v>525.039725241175</v>
      </c>
      <c r="I16" s="11">
        <v>1006.47059575021</v>
      </c>
      <c r="J16" s="11">
        <v>30.0606142322778</v>
      </c>
    </row>
    <row r="17" spans="1:10">
      <c r="A17" s="9" t="s">
        <v>53</v>
      </c>
      <c r="B17" s="9">
        <v>1024</v>
      </c>
      <c r="C17" s="9">
        <v>16384</v>
      </c>
      <c r="D17" s="9">
        <v>32</v>
      </c>
      <c r="E17" s="9">
        <v>64</v>
      </c>
      <c r="F17" s="11">
        <v>0.0121837130309664</v>
      </c>
      <c r="G17" s="11">
        <v>199.617954299354</v>
      </c>
      <c r="H17" s="11">
        <v>212.094076443063</v>
      </c>
      <c r="I17" s="11">
        <v>1879.22994939049</v>
      </c>
      <c r="J17" s="11">
        <v>149.862920569913</v>
      </c>
    </row>
    <row r="18" spans="1:10">
      <c r="A18" s="9" t="s">
        <v>54</v>
      </c>
      <c r="B18" s="9">
        <v>1024</v>
      </c>
      <c r="C18" s="9">
        <v>16384</v>
      </c>
      <c r="D18" s="9">
        <v>64</v>
      </c>
      <c r="E18" s="9">
        <v>128</v>
      </c>
      <c r="F18" s="11">
        <v>0.0240200598311171</v>
      </c>
      <c r="G18" s="11">
        <v>393.544660273023</v>
      </c>
      <c r="H18" s="11">
        <v>418.141201540087</v>
      </c>
      <c r="I18" s="11">
        <v>3217.05414813322</v>
      </c>
      <c r="J18" s="11">
        <v>151.467943560116</v>
      </c>
    </row>
    <row r="19" spans="1:10">
      <c r="A19" s="9" t="s">
        <v>153</v>
      </c>
      <c r="B19" s="9">
        <v>8192</v>
      </c>
      <c r="C19" s="9">
        <v>1024</v>
      </c>
      <c r="D19" s="9">
        <v>1</v>
      </c>
      <c r="E19" s="9">
        <v>32</v>
      </c>
      <c r="F19" s="11">
        <v>0.0395235974702739</v>
      </c>
      <c r="G19" s="11">
        <v>40.4721638095604</v>
      </c>
      <c r="H19" s="11">
        <v>364.249474286044</v>
      </c>
      <c r="I19" s="11">
        <v>1421.70576318812</v>
      </c>
      <c r="J19" s="11">
        <v>23.3425320237951</v>
      </c>
    </row>
    <row r="20" spans="1:10">
      <c r="A20" s="9" t="s">
        <v>56</v>
      </c>
      <c r="B20" s="9">
        <v>8192</v>
      </c>
      <c r="C20" s="9">
        <v>1024</v>
      </c>
      <c r="D20" s="9">
        <v>2</v>
      </c>
      <c r="E20" s="9">
        <v>32</v>
      </c>
      <c r="F20" s="11">
        <v>0.070533477804044</v>
      </c>
      <c r="G20" s="11">
        <v>72.226281271341</v>
      </c>
      <c r="H20" s="11">
        <v>650.036531442069</v>
      </c>
      <c r="I20" s="11">
        <v>1659.7299913119</v>
      </c>
      <c r="J20" s="11">
        <v>25.7076033990104</v>
      </c>
    </row>
    <row r="21" spans="1:10">
      <c r="A21" s="9" t="s">
        <v>57</v>
      </c>
      <c r="B21" s="9">
        <v>8192</v>
      </c>
      <c r="C21" s="9">
        <v>1024</v>
      </c>
      <c r="D21" s="9">
        <v>4</v>
      </c>
      <c r="E21" s="9">
        <v>32</v>
      </c>
      <c r="F21" s="11">
        <v>0.115169902235434</v>
      </c>
      <c r="G21" s="11">
        <v>117.933979889084</v>
      </c>
      <c r="H21" s="11">
        <v>1061.40581900176</v>
      </c>
      <c r="I21" s="11">
        <v>1878.18502487652</v>
      </c>
      <c r="J21" s="11">
        <v>30.811599051899</v>
      </c>
    </row>
    <row r="22" spans="1:10">
      <c r="A22" s="9" t="s">
        <v>58</v>
      </c>
      <c r="B22" s="9">
        <v>8192</v>
      </c>
      <c r="C22" s="9">
        <v>1024</v>
      </c>
      <c r="D22" s="9">
        <v>8</v>
      </c>
      <c r="E22" s="9">
        <v>32</v>
      </c>
      <c r="F22" s="11">
        <v>0.183881820621766</v>
      </c>
      <c r="G22" s="11">
        <v>188.294984316688</v>
      </c>
      <c r="H22" s="11">
        <v>1694.6548588502</v>
      </c>
      <c r="I22" s="11">
        <v>2927.06629696749</v>
      </c>
      <c r="J22" s="11">
        <v>36.790374291208</v>
      </c>
    </row>
    <row r="23" spans="1:10">
      <c r="A23" s="9" t="s">
        <v>59</v>
      </c>
      <c r="B23" s="9">
        <v>8192</v>
      </c>
      <c r="C23" s="9">
        <v>1024</v>
      </c>
      <c r="D23" s="9">
        <v>16</v>
      </c>
      <c r="E23" s="9">
        <v>64</v>
      </c>
      <c r="F23" s="11">
        <v>0.265147974260538</v>
      </c>
      <c r="G23" s="11">
        <v>271.511525642791</v>
      </c>
      <c r="H23" s="11">
        <v>2443.60373078512</v>
      </c>
      <c r="I23" s="11">
        <v>4292.51104609375</v>
      </c>
      <c r="J23" s="11">
        <v>50.8077465932611</v>
      </c>
    </row>
    <row r="24" spans="1:10">
      <c r="A24" s="9" t="s">
        <v>60</v>
      </c>
      <c r="B24" s="9">
        <v>8192</v>
      </c>
      <c r="C24" s="9">
        <v>1024</v>
      </c>
      <c r="D24" s="9">
        <v>32</v>
      </c>
      <c r="E24" s="9">
        <v>128</v>
      </c>
      <c r="F24" s="11">
        <v>0.161321543378805</v>
      </c>
      <c r="G24" s="11">
        <v>165.193260419896</v>
      </c>
      <c r="H24" s="11">
        <v>1486.73934377906</v>
      </c>
      <c r="I24" s="11">
        <v>7716.17558201558</v>
      </c>
      <c r="J24" s="11">
        <v>181.310717177206</v>
      </c>
    </row>
    <row r="25" spans="1:10">
      <c r="A25" s="9" t="s">
        <v>61</v>
      </c>
      <c r="B25" s="9">
        <v>8192</v>
      </c>
      <c r="C25" s="9">
        <v>1024</v>
      </c>
      <c r="D25" s="9">
        <v>64</v>
      </c>
      <c r="E25" s="9">
        <v>256</v>
      </c>
      <c r="F25" s="11">
        <v>0.293061554769142</v>
      </c>
      <c r="G25" s="11">
        <v>300.095032083601</v>
      </c>
      <c r="H25" s="11">
        <v>2700.85528875241</v>
      </c>
      <c r="I25" s="11">
        <v>13823.9311816913</v>
      </c>
      <c r="J25" s="11">
        <v>189.514609915689</v>
      </c>
    </row>
    <row r="26" spans="1:10">
      <c r="A26" s="9" t="s">
        <v>62</v>
      </c>
      <c r="B26" s="9">
        <v>8192</v>
      </c>
      <c r="C26" s="9">
        <v>1024</v>
      </c>
      <c r="D26" s="9">
        <v>128</v>
      </c>
      <c r="E26" s="9">
        <v>512</v>
      </c>
      <c r="F26" s="11">
        <v>0.459986616470717</v>
      </c>
      <c r="G26" s="11">
        <v>471.026295266014</v>
      </c>
      <c r="H26" s="11">
        <v>4239.23665739413</v>
      </c>
      <c r="I26" s="11">
        <v>29220.6961340666</v>
      </c>
      <c r="J26" s="11">
        <v>221.725752806392</v>
      </c>
    </row>
    <row r="27" spans="1:10">
      <c r="A27" s="9" t="s">
        <v>63</v>
      </c>
      <c r="B27" s="9">
        <v>8192</v>
      </c>
      <c r="C27" s="9">
        <v>1024</v>
      </c>
      <c r="D27" s="9">
        <v>256</v>
      </c>
      <c r="E27" s="9">
        <v>1024</v>
      </c>
      <c r="F27" s="11">
        <v>0.537821039040504</v>
      </c>
      <c r="G27" s="11">
        <v>550.728743977477</v>
      </c>
      <c r="H27" s="11">
        <v>4956.55869579729</v>
      </c>
      <c r="I27" s="11">
        <v>201239.451117741</v>
      </c>
      <c r="J27" s="11">
        <v>228.171504779042</v>
      </c>
    </row>
    <row r="28" spans="1:10">
      <c r="A28" s="9" t="s">
        <v>162</v>
      </c>
      <c r="B28" s="9">
        <v>8192</v>
      </c>
      <c r="C28" s="9">
        <v>16384</v>
      </c>
      <c r="D28" s="9">
        <v>1</v>
      </c>
      <c r="E28" s="9">
        <v>16</v>
      </c>
      <c r="F28" s="11">
        <v>0.00288937468547148</v>
      </c>
      <c r="G28" s="11">
        <v>47.3395148467648</v>
      </c>
      <c r="H28" s="11">
        <v>71.0092722701472</v>
      </c>
      <c r="I28" s="11">
        <v>1413.92079249999</v>
      </c>
      <c r="J28" s="11">
        <v>21.0389621132349</v>
      </c>
    </row>
    <row r="29" spans="1:10">
      <c r="A29" s="9" t="s">
        <v>163</v>
      </c>
      <c r="B29" s="9">
        <v>8192</v>
      </c>
      <c r="C29" s="9">
        <v>16384</v>
      </c>
      <c r="D29" s="9">
        <v>2</v>
      </c>
      <c r="E29" s="9">
        <v>8</v>
      </c>
      <c r="F29" s="11">
        <v>0.00543975812007876</v>
      </c>
      <c r="G29" s="11">
        <v>89.1249970393705</v>
      </c>
      <c r="H29" s="11">
        <v>133.687495559055</v>
      </c>
      <c r="I29" s="11">
        <v>1700.12540387324</v>
      </c>
      <c r="J29" s="11">
        <v>21.8381778337756</v>
      </c>
    </row>
    <row r="30" spans="1:10">
      <c r="A30" s="9" t="s">
        <v>66</v>
      </c>
      <c r="B30" s="9">
        <v>8192</v>
      </c>
      <c r="C30" s="9">
        <v>16384</v>
      </c>
      <c r="D30" s="9">
        <v>4</v>
      </c>
      <c r="E30" s="9">
        <v>16</v>
      </c>
      <c r="F30" s="11">
        <v>0.00913694579506499</v>
      </c>
      <c r="G30" s="11">
        <v>149.699719906344</v>
      </c>
      <c r="H30" s="11">
        <v>224.549579859517</v>
      </c>
      <c r="I30" s="11">
        <v>2098.34379812309</v>
      </c>
      <c r="J30" s="11">
        <v>24.1533770425783</v>
      </c>
    </row>
    <row r="31" spans="1:10">
      <c r="A31" s="9" t="s">
        <v>67</v>
      </c>
      <c r="B31" s="9">
        <v>8192</v>
      </c>
      <c r="C31" s="9">
        <v>16384</v>
      </c>
      <c r="D31" s="9">
        <v>8</v>
      </c>
      <c r="E31" s="9">
        <v>16</v>
      </c>
      <c r="F31" s="11">
        <v>0.0142455995882163</v>
      </c>
      <c r="G31" s="11">
        <v>233.399903653336</v>
      </c>
      <c r="H31" s="11">
        <v>350.099855480005</v>
      </c>
      <c r="I31" s="11">
        <v>3853.88297937515</v>
      </c>
      <c r="J31" s="11">
        <v>28.8985124837371</v>
      </c>
    </row>
    <row r="32" spans="1:10">
      <c r="A32" s="9" t="s">
        <v>68</v>
      </c>
      <c r="B32" s="9">
        <v>8192</v>
      </c>
      <c r="C32" s="9">
        <v>16384</v>
      </c>
      <c r="D32" s="9">
        <v>16</v>
      </c>
      <c r="E32" s="9">
        <v>32</v>
      </c>
      <c r="F32" s="11">
        <v>0.0277283339221935</v>
      </c>
      <c r="G32" s="11">
        <v>454.301022981218</v>
      </c>
      <c r="H32" s="11">
        <v>681.451534471827</v>
      </c>
      <c r="I32" s="11">
        <v>6481.43730374886</v>
      </c>
      <c r="J32" s="11">
        <v>31.3342487232955</v>
      </c>
    </row>
    <row r="33" spans="1:10">
      <c r="A33" s="9" t="s">
        <v>69</v>
      </c>
      <c r="B33" s="9">
        <v>8192</v>
      </c>
      <c r="C33" s="9">
        <v>16384</v>
      </c>
      <c r="D33" s="9">
        <v>32</v>
      </c>
      <c r="E33" s="9">
        <v>64</v>
      </c>
      <c r="F33" s="11">
        <v>0.0122749020345723</v>
      </c>
      <c r="G33" s="11">
        <v>201.111994934433</v>
      </c>
      <c r="H33" s="11">
        <v>301.66799240165</v>
      </c>
      <c r="I33" s="11">
        <v>12178.0858446882</v>
      </c>
      <c r="J33" s="11">
        <v>153.45355058117</v>
      </c>
    </row>
    <row r="34" spans="1:10">
      <c r="A34" s="9" t="s">
        <v>71</v>
      </c>
      <c r="B34" s="9">
        <v>32768</v>
      </c>
      <c r="C34" s="9">
        <v>1024</v>
      </c>
      <c r="D34" s="9">
        <v>1</v>
      </c>
      <c r="E34" s="9">
        <v>32</v>
      </c>
      <c r="F34" s="11">
        <v>0.0336864441218083</v>
      </c>
      <c r="G34" s="11">
        <v>34.4949187807317</v>
      </c>
      <c r="H34" s="11">
        <v>1138.33231976414</v>
      </c>
      <c r="I34" s="11">
        <v>5412.25999531479</v>
      </c>
      <c r="J34" s="11">
        <v>23.7273172347563</v>
      </c>
    </row>
    <row r="35" spans="1:10">
      <c r="A35" s="9" t="s">
        <v>72</v>
      </c>
      <c r="B35" s="9">
        <v>32768</v>
      </c>
      <c r="C35" s="9">
        <v>1024</v>
      </c>
      <c r="D35" s="9">
        <v>2</v>
      </c>
      <c r="E35" s="9">
        <v>32</v>
      </c>
      <c r="F35" s="11">
        <v>0.0543967511926511</v>
      </c>
      <c r="G35" s="11">
        <v>55.7022732212748</v>
      </c>
      <c r="H35" s="11">
        <v>1838.17501630206</v>
      </c>
      <c r="I35" s="11">
        <v>5878.86342334377</v>
      </c>
      <c r="J35" s="11">
        <v>29.6249524403422</v>
      </c>
    </row>
    <row r="36" spans="1:10">
      <c r="A36" s="9" t="s">
        <v>73</v>
      </c>
      <c r="B36" s="9">
        <v>32768</v>
      </c>
      <c r="C36" s="9">
        <v>1024</v>
      </c>
      <c r="D36" s="9">
        <v>4</v>
      </c>
      <c r="E36" s="9">
        <v>32</v>
      </c>
      <c r="F36" s="11">
        <v>0.0784529144454261</v>
      </c>
      <c r="G36" s="11">
        <v>80.3357843921163</v>
      </c>
      <c r="H36" s="11">
        <v>2651.08088493983</v>
      </c>
      <c r="I36" s="11">
        <v>7375.23042718612</v>
      </c>
      <c r="J36" s="11">
        <v>41.6842641117117</v>
      </c>
    </row>
    <row r="37" spans="1:10">
      <c r="A37" s="9" t="s">
        <v>74</v>
      </c>
      <c r="B37" s="9">
        <v>32768</v>
      </c>
      <c r="C37" s="9">
        <v>1024</v>
      </c>
      <c r="D37" s="9">
        <v>8</v>
      </c>
      <c r="E37" s="9">
        <v>32</v>
      </c>
      <c r="F37" s="11">
        <v>0.100296191719547</v>
      </c>
      <c r="G37" s="11">
        <v>102.703300320816</v>
      </c>
      <c r="H37" s="11">
        <v>3389.20891058693</v>
      </c>
      <c r="I37" s="11">
        <v>11174.9053230946</v>
      </c>
      <c r="J37" s="11">
        <v>61.2006104425711</v>
      </c>
    </row>
    <row r="38" spans="1:10">
      <c r="A38" s="9" t="s">
        <v>75</v>
      </c>
      <c r="B38" s="9">
        <v>32768</v>
      </c>
      <c r="C38" s="9">
        <v>1024</v>
      </c>
      <c r="D38" s="9">
        <v>16</v>
      </c>
      <c r="E38" s="9">
        <v>64</v>
      </c>
      <c r="F38" s="11">
        <v>0.128279090532106</v>
      </c>
      <c r="G38" s="11">
        <v>131.357788704877</v>
      </c>
      <c r="H38" s="11">
        <v>4334.80702726094</v>
      </c>
      <c r="I38" s="11">
        <v>19966.0804300308</v>
      </c>
      <c r="J38" s="11">
        <v>98.73176963537</v>
      </c>
    </row>
    <row r="39" spans="1:10">
      <c r="A39" s="9" t="s">
        <v>76</v>
      </c>
      <c r="B39" s="9">
        <v>32768</v>
      </c>
      <c r="C39" s="9">
        <v>1024</v>
      </c>
      <c r="D39" s="9">
        <v>32</v>
      </c>
      <c r="E39" s="9">
        <v>128</v>
      </c>
      <c r="F39" s="11">
        <v>0.130363611061072</v>
      </c>
      <c r="G39" s="11">
        <v>133.492337726538</v>
      </c>
      <c r="H39" s="11">
        <v>4405.24714497577</v>
      </c>
      <c r="I39" s="11">
        <v>33551.9540974535</v>
      </c>
      <c r="J39" s="11">
        <v>201.088046069792</v>
      </c>
    </row>
    <row r="40" spans="1:10">
      <c r="A40" s="9" t="s">
        <v>77</v>
      </c>
      <c r="B40" s="9">
        <v>32768</v>
      </c>
      <c r="C40" s="9">
        <v>1024</v>
      </c>
      <c r="D40" s="9">
        <v>64</v>
      </c>
      <c r="E40" s="9">
        <v>256</v>
      </c>
      <c r="F40" s="11">
        <v>0.154329078905265</v>
      </c>
      <c r="G40" s="11">
        <v>158.032976798991</v>
      </c>
      <c r="H40" s="11">
        <v>5215.08823436672</v>
      </c>
      <c r="I40" s="11">
        <v>159539.473338062</v>
      </c>
      <c r="J40" s="11">
        <v>226.28611041607</v>
      </c>
    </row>
    <row r="41" spans="1:10">
      <c r="A41" s="9" t="s">
        <v>78</v>
      </c>
      <c r="B41" s="9">
        <v>32768</v>
      </c>
      <c r="C41" s="9">
        <v>16384</v>
      </c>
      <c r="D41" s="9">
        <v>1</v>
      </c>
      <c r="E41" s="9">
        <v>4</v>
      </c>
      <c r="F41" s="11">
        <v>0.00298145097414404</v>
      </c>
      <c r="G41" s="11">
        <v>48.8480927603759</v>
      </c>
      <c r="H41" s="11">
        <v>146.544278281127</v>
      </c>
      <c r="I41" s="11">
        <v>5408.60265499213</v>
      </c>
      <c r="J41" s="11">
        <v>20.1426767618718</v>
      </c>
    </row>
    <row r="42" spans="1:10">
      <c r="A42" s="9" t="s">
        <v>79</v>
      </c>
      <c r="B42" s="9">
        <v>32768</v>
      </c>
      <c r="C42" s="9">
        <v>16384</v>
      </c>
      <c r="D42" s="9">
        <v>2</v>
      </c>
      <c r="E42" s="9">
        <v>8</v>
      </c>
      <c r="F42" s="11">
        <v>0.00473818817704263</v>
      </c>
      <c r="G42" s="11">
        <v>77.6304750926664</v>
      </c>
      <c r="H42" s="11">
        <v>232.891425277999</v>
      </c>
      <c r="I42" s="11">
        <v>6159.95309987556</v>
      </c>
      <c r="J42" s="11">
        <v>25.2499721050329</v>
      </c>
    </row>
    <row r="43" spans="1:10">
      <c r="A43" s="9" t="s">
        <v>80</v>
      </c>
      <c r="B43" s="9">
        <v>32768</v>
      </c>
      <c r="C43" s="9">
        <v>16384</v>
      </c>
      <c r="D43" s="9">
        <v>4</v>
      </c>
      <c r="E43" s="9">
        <v>16</v>
      </c>
      <c r="F43" s="11">
        <v>0.00879350129432515</v>
      </c>
      <c r="G43" s="11">
        <v>144.072725206223</v>
      </c>
      <c r="H43" s="11">
        <v>432.218175618669</v>
      </c>
      <c r="I43" s="11">
        <v>7765.41053900109</v>
      </c>
      <c r="J43" s="11">
        <v>24.9596963204274</v>
      </c>
    </row>
    <row r="44" spans="1:10">
      <c r="A44" s="9" t="s">
        <v>81</v>
      </c>
      <c r="B44" s="9">
        <v>32768</v>
      </c>
      <c r="C44" s="9">
        <v>16384</v>
      </c>
      <c r="D44" s="9">
        <v>8</v>
      </c>
      <c r="E44" s="9">
        <v>16</v>
      </c>
      <c r="F44" s="11">
        <v>0.0157176223924992</v>
      </c>
      <c r="G44" s="11">
        <v>257.517525278707</v>
      </c>
      <c r="H44" s="11">
        <v>772.552575836121</v>
      </c>
      <c r="I44" s="11">
        <v>14810.1910893092</v>
      </c>
      <c r="J44" s="11">
        <v>27.8809805281732</v>
      </c>
    </row>
    <row r="45" spans="1:10">
      <c r="A45" s="9" t="s">
        <v>82</v>
      </c>
      <c r="B45" s="9">
        <v>32768</v>
      </c>
      <c r="C45" s="9">
        <v>16384</v>
      </c>
      <c r="D45" s="9">
        <v>16</v>
      </c>
      <c r="E45" s="9">
        <v>32</v>
      </c>
      <c r="F45" s="11">
        <v>0.0222026454629774</v>
      </c>
      <c r="G45" s="11">
        <v>363.768143265422</v>
      </c>
      <c r="H45" s="11">
        <v>1091.30442979626</v>
      </c>
      <c r="I45" s="11">
        <v>26324.9608685628</v>
      </c>
      <c r="J45" s="11">
        <v>34.9249325626049</v>
      </c>
    </row>
    <row r="46" spans="1:10">
      <c r="A46" s="9" t="s">
        <v>83</v>
      </c>
      <c r="B46" s="9">
        <v>32768</v>
      </c>
      <c r="C46" s="9">
        <v>16384</v>
      </c>
      <c r="D46" s="9">
        <v>32</v>
      </c>
      <c r="E46" s="9">
        <v>64</v>
      </c>
      <c r="F46" s="11">
        <v>0.0117553928484317</v>
      </c>
      <c r="G46" s="11">
        <v>192.600356428705</v>
      </c>
      <c r="H46" s="11">
        <v>577.801069286115</v>
      </c>
      <c r="I46" s="11">
        <v>50557.428223391</v>
      </c>
      <c r="J46" s="11">
        <v>153.608656771405</v>
      </c>
    </row>
    <row r="47" spans="1:10">
      <c r="A47" s="9" t="s">
        <v>84</v>
      </c>
      <c r="B47" s="9">
        <v>65536</v>
      </c>
      <c r="C47" s="9">
        <v>1024</v>
      </c>
      <c r="D47" s="9">
        <v>1</v>
      </c>
      <c r="E47" s="9">
        <v>16</v>
      </c>
      <c r="F47" s="11">
        <v>0.0280562480851638</v>
      </c>
      <c r="G47" s="11">
        <v>28.7295980392077</v>
      </c>
      <c r="H47" s="11">
        <v>1867.4238725485</v>
      </c>
      <c r="I47" s="11">
        <v>11326.9813205588</v>
      </c>
      <c r="J47" s="11">
        <v>23.7687853560073</v>
      </c>
    </row>
    <row r="48" spans="1:10">
      <c r="A48" s="9" t="s">
        <v>85</v>
      </c>
      <c r="B48" s="9">
        <v>65536</v>
      </c>
      <c r="C48" s="9">
        <v>1024</v>
      </c>
      <c r="D48" s="9">
        <v>2</v>
      </c>
      <c r="E48" s="9">
        <v>16</v>
      </c>
      <c r="F48" s="11">
        <v>0.0388548977092437</v>
      </c>
      <c r="G48" s="11">
        <v>39.7874152542656</v>
      </c>
      <c r="H48" s="11">
        <v>2586.18199152726</v>
      </c>
      <c r="I48" s="11">
        <v>12248.665772995</v>
      </c>
      <c r="J48" s="11">
        <v>37.0226544709203</v>
      </c>
    </row>
    <row r="49" spans="1:10">
      <c r="A49" s="9" t="s">
        <v>86</v>
      </c>
      <c r="B49" s="9">
        <v>65536</v>
      </c>
      <c r="C49" s="9">
        <v>1024</v>
      </c>
      <c r="D49" s="9">
        <v>4</v>
      </c>
      <c r="E49" s="9">
        <v>16</v>
      </c>
      <c r="F49" s="11">
        <v>0.0551821069389122</v>
      </c>
      <c r="G49" s="11">
        <v>56.5064775054461</v>
      </c>
      <c r="H49" s="11">
        <v>3672.92103785399</v>
      </c>
      <c r="I49" s="11">
        <v>18361.8965171262</v>
      </c>
      <c r="J49" s="11">
        <v>50.1252757230607</v>
      </c>
    </row>
    <row r="50" spans="1:10">
      <c r="A50" s="9" t="s">
        <v>87</v>
      </c>
      <c r="B50" s="9">
        <v>65536</v>
      </c>
      <c r="C50" s="9">
        <v>1024</v>
      </c>
      <c r="D50" s="9">
        <v>8</v>
      </c>
      <c r="E50" s="9">
        <v>16</v>
      </c>
      <c r="F50" s="11">
        <v>0.0620291832186229</v>
      </c>
      <c r="G50" s="11">
        <v>63.5178836158698</v>
      </c>
      <c r="H50" s="11">
        <v>4128.66243503154</v>
      </c>
      <c r="I50" s="11">
        <v>34175.8333994348</v>
      </c>
      <c r="J50" s="11">
        <v>80.1340864842435</v>
      </c>
    </row>
    <row r="51" spans="1:10">
      <c r="A51" s="9" t="s">
        <v>88</v>
      </c>
      <c r="B51" s="9">
        <v>65536</v>
      </c>
      <c r="C51" s="9">
        <v>1024</v>
      </c>
      <c r="D51" s="9">
        <v>16</v>
      </c>
      <c r="E51" s="9">
        <v>32</v>
      </c>
      <c r="F51" s="11">
        <v>0.0722119961132581</v>
      </c>
      <c r="G51" s="11">
        <v>73.9450840199762</v>
      </c>
      <c r="H51" s="11">
        <v>4806.43046129845</v>
      </c>
      <c r="I51" s="11">
        <v>60238.8268391523</v>
      </c>
      <c r="J51" s="11">
        <v>145.215655345824</v>
      </c>
    </row>
    <row r="52" spans="1:10">
      <c r="A52" s="9" t="s">
        <v>89</v>
      </c>
      <c r="B52" s="9">
        <v>65536</v>
      </c>
      <c r="C52" s="9">
        <v>1024</v>
      </c>
      <c r="D52" s="9">
        <v>32</v>
      </c>
      <c r="E52" s="9">
        <v>64</v>
      </c>
      <c r="F52" s="11">
        <v>0.0777501796764769</v>
      </c>
      <c r="G52" s="11">
        <v>79.6161839887123</v>
      </c>
      <c r="H52" s="11">
        <v>5175.0519592663</v>
      </c>
      <c r="I52" s="11">
        <v>178018.45054361</v>
      </c>
      <c r="J52" s="11">
        <v>203.281625296522</v>
      </c>
    </row>
    <row r="53" spans="1:10">
      <c r="A53" s="9" t="s">
        <v>90</v>
      </c>
      <c r="B53" s="9">
        <v>65536</v>
      </c>
      <c r="C53" s="9">
        <v>1024</v>
      </c>
      <c r="D53" s="9">
        <v>64</v>
      </c>
      <c r="E53" s="9">
        <v>128</v>
      </c>
      <c r="F53" s="11">
        <v>0.0790288117667977</v>
      </c>
      <c r="G53" s="11">
        <v>80.9255032492009</v>
      </c>
      <c r="H53" s="11">
        <v>5260.15771119806</v>
      </c>
      <c r="I53" s="11">
        <v>478765.219176071</v>
      </c>
      <c r="J53" s="11">
        <v>221.108478219573</v>
      </c>
    </row>
    <row r="54" spans="1:10">
      <c r="A54" s="9" t="s">
        <v>164</v>
      </c>
      <c r="B54" s="9">
        <v>131072</v>
      </c>
      <c r="C54" s="9">
        <v>1024</v>
      </c>
      <c r="D54" s="9">
        <v>1</v>
      </c>
      <c r="E54" s="9">
        <v>8</v>
      </c>
      <c r="F54" s="11">
        <v>0.0195519295165959</v>
      </c>
      <c r="G54" s="11">
        <v>20.0211758249942</v>
      </c>
      <c r="H54" s="11">
        <v>2582.73168142426</v>
      </c>
      <c r="I54" s="11">
        <v>25173.6607976199</v>
      </c>
      <c r="J54" s="11">
        <v>25.3879676544507</v>
      </c>
    </row>
    <row r="55" spans="1:10">
      <c r="A55" s="9" t="s">
        <v>165</v>
      </c>
      <c r="B55" s="9">
        <v>131072</v>
      </c>
      <c r="C55" s="9">
        <v>1024</v>
      </c>
      <c r="D55" s="9">
        <v>2</v>
      </c>
      <c r="E55" s="9">
        <v>16</v>
      </c>
      <c r="F55" s="11">
        <v>0.0271161824105236</v>
      </c>
      <c r="G55" s="11">
        <v>27.7669707883762</v>
      </c>
      <c r="H55" s="11">
        <v>3581.93923170053</v>
      </c>
      <c r="I55" s="11">
        <v>26922.3087842474</v>
      </c>
      <c r="J55" s="11">
        <v>44.7612252539733</v>
      </c>
    </row>
    <row r="56" spans="1:10">
      <c r="A56" s="9" t="s">
        <v>166</v>
      </c>
      <c r="B56" s="9">
        <v>131072</v>
      </c>
      <c r="C56" s="9">
        <v>1024</v>
      </c>
      <c r="D56" s="9">
        <v>4</v>
      </c>
      <c r="E56" s="9">
        <v>16</v>
      </c>
      <c r="F56" s="11">
        <v>0.032613579197492</v>
      </c>
      <c r="G56" s="11">
        <v>33.3963050982319</v>
      </c>
      <c r="H56" s="11">
        <v>4308.12335767191</v>
      </c>
      <c r="I56" s="11">
        <v>42207.3972880007</v>
      </c>
      <c r="J56" s="11">
        <v>77.7519640578603</v>
      </c>
    </row>
    <row r="57" spans="1:10">
      <c r="A57" s="9" t="s">
        <v>167</v>
      </c>
      <c r="B57" s="9">
        <v>131072</v>
      </c>
      <c r="C57" s="9">
        <v>1024</v>
      </c>
      <c r="D57" s="9">
        <v>8</v>
      </c>
      <c r="E57" s="9">
        <v>16</v>
      </c>
      <c r="F57" s="11">
        <v>0.0350636713802712</v>
      </c>
      <c r="G57" s="11">
        <v>35.9051994933977</v>
      </c>
      <c r="H57" s="11">
        <v>4631.7707346483</v>
      </c>
      <c r="I57" s="11">
        <v>72567.810053626</v>
      </c>
      <c r="J57" s="11">
        <v>144.620614829912</v>
      </c>
    </row>
    <row r="58" spans="1:10">
      <c r="A58" s="9" t="s">
        <v>168</v>
      </c>
      <c r="B58" s="9">
        <v>131072</v>
      </c>
      <c r="C58" s="9">
        <v>1024</v>
      </c>
      <c r="D58" s="9">
        <v>16</v>
      </c>
      <c r="E58" s="9">
        <v>32</v>
      </c>
      <c r="F58" s="11">
        <v>0.0365538897291803</v>
      </c>
      <c r="G58" s="11">
        <v>37.4311830826806</v>
      </c>
      <c r="H58" s="11">
        <v>4828.6226176658</v>
      </c>
      <c r="I58" s="11">
        <v>192788.562958187</v>
      </c>
      <c r="J58" s="11">
        <v>216.855989697699</v>
      </c>
    </row>
    <row r="59" spans="1:10">
      <c r="A59" s="9" t="s">
        <v>169</v>
      </c>
      <c r="B59" s="9">
        <v>131072</v>
      </c>
      <c r="C59" s="9">
        <v>1024</v>
      </c>
      <c r="D59" s="9">
        <v>32</v>
      </c>
      <c r="E59" s="9">
        <v>64</v>
      </c>
      <c r="F59" s="11">
        <v>0.0367185834937953</v>
      </c>
      <c r="G59" s="11">
        <v>37.5998294976464</v>
      </c>
      <c r="H59" s="11">
        <v>4850.37800519639</v>
      </c>
      <c r="I59" s="11">
        <v>520476.389059796</v>
      </c>
      <c r="J59" s="11">
        <v>229.850120426564</v>
      </c>
    </row>
    <row r="65" spans="1:1">
      <c r="A65" t="s">
        <v>210</v>
      </c>
    </row>
    <row r="66" spans="1:1">
      <c r="A66" t="s">
        <v>211</v>
      </c>
    </row>
    <row r="67" spans="1:1">
      <c r="A67" t="s">
        <v>212</v>
      </c>
    </row>
    <row r="68" spans="1:1">
      <c r="A68" t="s">
        <v>213</v>
      </c>
    </row>
    <row r="69" spans="1:1">
      <c r="A69" t="s">
        <v>214</v>
      </c>
    </row>
    <row r="70" spans="1:1">
      <c r="A70" t="s">
        <v>215</v>
      </c>
    </row>
    <row r="71" spans="1:1">
      <c r="A71" t="s">
        <v>216</v>
      </c>
    </row>
    <row r="72" spans="1:1">
      <c r="A72" t="s">
        <v>217</v>
      </c>
    </row>
    <row r="73" spans="1:1">
      <c r="A73" t="s">
        <v>218</v>
      </c>
    </row>
    <row r="74" spans="1:1">
      <c r="A74" t="s">
        <v>219</v>
      </c>
    </row>
    <row r="76" spans="1:1">
      <c r="A76" t="s">
        <v>220</v>
      </c>
    </row>
    <row r="77" spans="1:1">
      <c r="A77" t="s">
        <v>221</v>
      </c>
    </row>
    <row r="78" spans="1:1">
      <c r="A78" t="s">
        <v>222</v>
      </c>
    </row>
    <row r="79" spans="1:1">
      <c r="A79" t="s">
        <v>223</v>
      </c>
    </row>
    <row r="80" spans="1:1">
      <c r="A80" t="s">
        <v>224</v>
      </c>
    </row>
  </sheetData>
  <sheetProtection formatCells="0" formatColumns="0" formatRows="0" insertRows="0" insertColumns="0" insertHyperlinks="0" deleteColumns="0" deleteRows="0" sort="0" autoFilter="0" pivotTables="0"/>
  <sortState ref="A2:CC62">
    <sortCondition ref="B2:B62"/>
    <sortCondition ref="C2:C62"/>
    <sortCondition ref="D2:D62"/>
  </sortState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2"/>
  <sheetViews>
    <sheetView workbookViewId="0">
      <selection activeCell="H10" sqref="H10"/>
    </sheetView>
  </sheetViews>
  <sheetFormatPr defaultColWidth="9.23333333333333" defaultRowHeight="13.5"/>
  <cols>
    <col min="1" max="1" width="28.625" customWidth="1"/>
    <col min="5" max="5" width="12.975" customWidth="1"/>
    <col min="7" max="7" width="14.25" customWidth="1"/>
    <col min="8" max="8" width="12.0083333333333" customWidth="1"/>
    <col min="9" max="9" width="11.3833333333333" customWidth="1"/>
    <col min="10" max="10" width="9.69166666666667"/>
    <col min="12" max="12" width="12.925"/>
  </cols>
  <sheetData>
    <row r="1" ht="40.5" spans="1:12">
      <c r="A1" s="13" t="s">
        <v>11</v>
      </c>
      <c r="B1" s="13" t="s">
        <v>202</v>
      </c>
      <c r="C1" s="13" t="s">
        <v>203</v>
      </c>
      <c r="D1" s="13" t="s">
        <v>204</v>
      </c>
      <c r="E1" s="13" t="s">
        <v>12</v>
      </c>
      <c r="F1" s="13" t="s">
        <v>5</v>
      </c>
      <c r="G1" s="13" t="s">
        <v>225</v>
      </c>
      <c r="H1" s="13" t="s">
        <v>6</v>
      </c>
      <c r="I1" s="13" t="s">
        <v>7</v>
      </c>
      <c r="J1" s="13" t="s">
        <v>208</v>
      </c>
      <c r="K1" s="13" t="s">
        <v>209</v>
      </c>
      <c r="L1" s="13" t="s">
        <v>10</v>
      </c>
    </row>
    <row r="2" spans="1:12">
      <c r="A2" s="9" t="s">
        <v>38</v>
      </c>
      <c r="B2" s="9">
        <v>1024</v>
      </c>
      <c r="C2" s="9">
        <v>1024</v>
      </c>
      <c r="D2" s="9">
        <v>1</v>
      </c>
      <c r="E2" s="9">
        <v>32</v>
      </c>
      <c r="F2" s="61">
        <v>0.0320433087057268</v>
      </c>
      <c r="G2" s="11">
        <v>32.8123481146643</v>
      </c>
      <c r="H2" s="11">
        <v>32.8123481146643</v>
      </c>
      <c r="I2" s="11">
        <v>65.6246962293286</v>
      </c>
      <c r="J2" s="11">
        <v>227.89483575616</v>
      </c>
      <c r="K2" s="11">
        <v>30.2830547629828</v>
      </c>
      <c r="L2" s="35">
        <f t="shared" ref="L2:L31" si="0">1000/K2</f>
        <v>33.0217677122314</v>
      </c>
    </row>
    <row r="3" spans="1:12">
      <c r="A3" s="9" t="s">
        <v>39</v>
      </c>
      <c r="B3" s="9">
        <v>1024</v>
      </c>
      <c r="C3" s="9">
        <v>1024</v>
      </c>
      <c r="D3" s="9">
        <v>2</v>
      </c>
      <c r="E3" s="9">
        <v>32</v>
      </c>
      <c r="F3" s="61">
        <v>0.0741126041636115</v>
      </c>
      <c r="G3" s="11">
        <v>75.8913066635382</v>
      </c>
      <c r="H3" s="11">
        <v>75.8913066635382</v>
      </c>
      <c r="I3" s="11">
        <v>151.782613327076</v>
      </c>
      <c r="J3" s="11">
        <v>248.708440503833</v>
      </c>
      <c r="K3" s="11">
        <v>25.9020326292426</v>
      </c>
      <c r="L3" s="35">
        <f t="shared" si="0"/>
        <v>38.6070087361032</v>
      </c>
    </row>
    <row r="4" spans="1:12">
      <c r="A4" s="9" t="s">
        <v>40</v>
      </c>
      <c r="B4" s="9">
        <v>1024</v>
      </c>
      <c r="C4" s="9">
        <v>1024</v>
      </c>
      <c r="D4" s="9">
        <v>4</v>
      </c>
      <c r="E4" s="9">
        <v>32</v>
      </c>
      <c r="F4" s="61">
        <v>0.137948116351834</v>
      </c>
      <c r="G4" s="11">
        <v>141.258871144278</v>
      </c>
      <c r="H4" s="11">
        <v>141.258871144278</v>
      </c>
      <c r="I4" s="11">
        <v>282.517742288556</v>
      </c>
      <c r="J4" s="11">
        <v>317.785931743856</v>
      </c>
      <c r="K4" s="11">
        <v>26.6786828801639</v>
      </c>
      <c r="L4" s="35">
        <f t="shared" si="0"/>
        <v>37.4831098106241</v>
      </c>
    </row>
    <row r="5" spans="1:12">
      <c r="A5" s="9" t="s">
        <v>41</v>
      </c>
      <c r="B5" s="9">
        <v>1024</v>
      </c>
      <c r="C5" s="9">
        <v>1024</v>
      </c>
      <c r="D5" s="9">
        <v>8</v>
      </c>
      <c r="E5" s="9">
        <v>32</v>
      </c>
      <c r="F5" s="61">
        <v>0.265004756863995</v>
      </c>
      <c r="G5" s="11">
        <v>271.364871028731</v>
      </c>
      <c r="H5" s="11">
        <v>271.364871028731</v>
      </c>
      <c r="I5" s="11">
        <v>542.729742057462</v>
      </c>
      <c r="J5" s="11">
        <v>823.020057934627</v>
      </c>
      <c r="K5" s="11">
        <v>27.3688507111556</v>
      </c>
      <c r="L5" s="35">
        <f t="shared" si="0"/>
        <v>36.5378879279135</v>
      </c>
    </row>
    <row r="6" spans="1:12">
      <c r="A6" s="9" t="s">
        <v>42</v>
      </c>
      <c r="B6" s="9">
        <v>1024</v>
      </c>
      <c r="C6" s="9">
        <v>1024</v>
      </c>
      <c r="D6" s="9">
        <v>16</v>
      </c>
      <c r="E6" s="9">
        <v>64</v>
      </c>
      <c r="F6" s="61">
        <v>0.435288877871544</v>
      </c>
      <c r="G6" s="11">
        <v>445.735810940461</v>
      </c>
      <c r="H6" s="11">
        <v>445.735810940461</v>
      </c>
      <c r="I6" s="11">
        <v>891.471621880923</v>
      </c>
      <c r="J6" s="11">
        <v>1322.26705927678</v>
      </c>
      <c r="K6" s="11">
        <v>31.6465741431276</v>
      </c>
      <c r="L6" s="35">
        <f t="shared" si="0"/>
        <v>31.5989969554781</v>
      </c>
    </row>
    <row r="7" spans="1:12">
      <c r="A7" s="9" t="s">
        <v>43</v>
      </c>
      <c r="B7" s="9">
        <v>1024</v>
      </c>
      <c r="C7" s="9">
        <v>1024</v>
      </c>
      <c r="D7" s="9">
        <v>32</v>
      </c>
      <c r="E7" s="9">
        <v>128</v>
      </c>
      <c r="F7" s="61">
        <v>0.645670764220227</v>
      </c>
      <c r="G7" s="11">
        <v>661.166862561513</v>
      </c>
      <c r="H7" s="11">
        <v>661.166862561513</v>
      </c>
      <c r="I7" s="11">
        <v>1322.33372512302</v>
      </c>
      <c r="J7" s="11">
        <v>1619.79065518517</v>
      </c>
      <c r="K7" s="11">
        <v>42.6136802280999</v>
      </c>
      <c r="L7" s="35">
        <f t="shared" si="0"/>
        <v>23.4666425112138</v>
      </c>
    </row>
    <row r="8" spans="1:12">
      <c r="A8" s="9" t="s">
        <v>44</v>
      </c>
      <c r="B8" s="9">
        <v>1024</v>
      </c>
      <c r="C8" s="9">
        <v>1024</v>
      </c>
      <c r="D8" s="9">
        <v>64</v>
      </c>
      <c r="E8" s="9">
        <v>256</v>
      </c>
      <c r="F8" s="61">
        <v>1.01830745137581</v>
      </c>
      <c r="G8" s="11">
        <v>1042.74683020883</v>
      </c>
      <c r="H8" s="11">
        <v>1042.74683020883</v>
      </c>
      <c r="I8" s="11">
        <v>2085.49366041767</v>
      </c>
      <c r="J8" s="11">
        <v>2117.59711141667</v>
      </c>
      <c r="K8" s="11">
        <v>53.5024712382578</v>
      </c>
      <c r="L8" s="35">
        <f t="shared" si="0"/>
        <v>18.6907254348456</v>
      </c>
    </row>
    <row r="9" spans="1:12">
      <c r="A9" s="9" t="s">
        <v>45</v>
      </c>
      <c r="B9" s="9">
        <v>1024</v>
      </c>
      <c r="C9" s="9">
        <v>1024</v>
      </c>
      <c r="D9" s="9">
        <v>128</v>
      </c>
      <c r="E9" s="9">
        <v>512</v>
      </c>
      <c r="F9" s="61">
        <v>1.49650732007625</v>
      </c>
      <c r="G9" s="11">
        <v>1532.42349575808</v>
      </c>
      <c r="H9" s="11">
        <v>1532.42349575808</v>
      </c>
      <c r="I9" s="11">
        <v>3064.84699151617</v>
      </c>
      <c r="J9" s="11">
        <v>3326.90994737481</v>
      </c>
      <c r="K9" s="11">
        <v>72.1113557738382</v>
      </c>
      <c r="L9" s="35">
        <f t="shared" si="0"/>
        <v>13.8674413935065</v>
      </c>
    </row>
    <row r="10" spans="1:12">
      <c r="A10" s="9" t="s">
        <v>46</v>
      </c>
      <c r="B10" s="9">
        <v>1024</v>
      </c>
      <c r="C10" s="9">
        <v>1024</v>
      </c>
      <c r="D10" s="9">
        <v>256</v>
      </c>
      <c r="E10" s="9">
        <v>1024</v>
      </c>
      <c r="F10" s="61">
        <v>2.05282240423939</v>
      </c>
      <c r="G10" s="11">
        <v>2102.09014194113</v>
      </c>
      <c r="H10" s="11">
        <v>2102.09014194113</v>
      </c>
      <c r="I10" s="11">
        <v>4204.18028388227</v>
      </c>
      <c r="J10" s="11">
        <v>6460.45679502901</v>
      </c>
      <c r="K10" s="11">
        <v>106.038507203766</v>
      </c>
      <c r="L10" s="35">
        <f t="shared" si="0"/>
        <v>9.43053638126362</v>
      </c>
    </row>
    <row r="11" spans="1:12">
      <c r="A11" s="9" t="s">
        <v>47</v>
      </c>
      <c r="B11" s="9">
        <v>1024</v>
      </c>
      <c r="C11" s="9">
        <v>1024</v>
      </c>
      <c r="D11" s="9">
        <v>512</v>
      </c>
      <c r="E11" s="9">
        <v>2048</v>
      </c>
      <c r="F11" s="61">
        <v>2.28916522932547</v>
      </c>
      <c r="G11" s="11">
        <v>2344.10519482928</v>
      </c>
      <c r="H11" s="11">
        <v>2344.10519482928</v>
      </c>
      <c r="I11" s="11">
        <v>4688.21038965857</v>
      </c>
      <c r="J11" s="11">
        <v>13584.4284497844</v>
      </c>
      <c r="K11" s="11">
        <v>189.291985196024</v>
      </c>
      <c r="L11" s="35">
        <f t="shared" si="0"/>
        <v>5.28284385080771</v>
      </c>
    </row>
    <row r="12" spans="1:12">
      <c r="A12" s="9" t="s">
        <v>151</v>
      </c>
      <c r="B12" s="9">
        <v>1024</v>
      </c>
      <c r="C12" s="9">
        <v>16384</v>
      </c>
      <c r="D12" s="9">
        <v>1</v>
      </c>
      <c r="E12" s="9">
        <v>16</v>
      </c>
      <c r="F12" s="61">
        <v>0.0021972361878153</v>
      </c>
      <c r="G12" s="11">
        <v>2.24996985632287</v>
      </c>
      <c r="H12" s="11">
        <v>35.9995177011659</v>
      </c>
      <c r="I12" s="11">
        <v>38.2494875574888</v>
      </c>
      <c r="J12" s="11">
        <v>227.906156556855</v>
      </c>
      <c r="K12" s="11">
        <v>27.7659147768801</v>
      </c>
      <c r="L12" s="35">
        <f t="shared" si="0"/>
        <v>36.0153810179044</v>
      </c>
    </row>
    <row r="13" spans="1:12">
      <c r="A13" s="9" t="s">
        <v>152</v>
      </c>
      <c r="B13" s="9">
        <v>1024</v>
      </c>
      <c r="C13" s="9">
        <v>16384</v>
      </c>
      <c r="D13" s="9">
        <v>2</v>
      </c>
      <c r="E13" s="9">
        <v>8</v>
      </c>
      <c r="F13" s="61">
        <v>0.00518237600051622</v>
      </c>
      <c r="G13" s="11">
        <v>5.30675302452861</v>
      </c>
      <c r="H13" s="11">
        <v>84.9080483924577</v>
      </c>
      <c r="I13" s="11">
        <v>90.2148014169863</v>
      </c>
      <c r="J13" s="11">
        <v>249.307722391677</v>
      </c>
      <c r="K13" s="11">
        <v>23.0783570741382</v>
      </c>
      <c r="L13" s="35">
        <f t="shared" si="0"/>
        <v>43.3306407725448</v>
      </c>
    </row>
    <row r="14" spans="1:12">
      <c r="A14" s="9" t="s">
        <v>50</v>
      </c>
      <c r="B14" s="9">
        <v>1024</v>
      </c>
      <c r="C14" s="9">
        <v>16384</v>
      </c>
      <c r="D14" s="9">
        <v>4</v>
      </c>
      <c r="E14" s="9">
        <v>16</v>
      </c>
      <c r="F14" s="61">
        <v>0.00898404057289843</v>
      </c>
      <c r="G14" s="11">
        <v>9.19965754664799</v>
      </c>
      <c r="H14" s="11">
        <v>147.194520746367</v>
      </c>
      <c r="I14" s="11">
        <v>156.394178293015</v>
      </c>
      <c r="J14" s="11">
        <v>302.578760500182</v>
      </c>
      <c r="K14" s="11">
        <v>24.7604342501296</v>
      </c>
      <c r="L14" s="35">
        <f t="shared" si="0"/>
        <v>40.3870138099362</v>
      </c>
    </row>
    <row r="15" spans="1:12">
      <c r="A15" s="9" t="s">
        <v>51</v>
      </c>
      <c r="B15" s="9">
        <v>1024</v>
      </c>
      <c r="C15" s="9">
        <v>16384</v>
      </c>
      <c r="D15" s="9">
        <v>8</v>
      </c>
      <c r="E15" s="9">
        <v>16</v>
      </c>
      <c r="F15" s="61">
        <v>0.0195180324149652</v>
      </c>
      <c r="G15" s="11">
        <v>19.9864651929244</v>
      </c>
      <c r="H15" s="11">
        <v>319.78344308679</v>
      </c>
      <c r="I15" s="11">
        <v>339.769908279715</v>
      </c>
      <c r="J15" s="11">
        <v>442.803075580741</v>
      </c>
      <c r="K15" s="11">
        <v>22.9352817750408</v>
      </c>
      <c r="L15" s="35">
        <f t="shared" si="0"/>
        <v>43.6009467774773</v>
      </c>
    </row>
    <row r="16" spans="1:12">
      <c r="A16" s="9" t="s">
        <v>52</v>
      </c>
      <c r="B16" s="9">
        <v>1024</v>
      </c>
      <c r="C16" s="9">
        <v>16384</v>
      </c>
      <c r="D16" s="9">
        <v>16</v>
      </c>
      <c r="E16" s="9">
        <v>32</v>
      </c>
      <c r="F16" s="61">
        <v>0.0274138564457897</v>
      </c>
      <c r="G16" s="11">
        <v>28.0717890004887</v>
      </c>
      <c r="H16" s="11">
        <v>449.148624007819</v>
      </c>
      <c r="I16" s="11">
        <v>477.220413008308</v>
      </c>
      <c r="J16" s="11">
        <v>763.874140535335</v>
      </c>
      <c r="K16" s="11">
        <v>26.2793881422512</v>
      </c>
      <c r="L16" s="35">
        <f t="shared" si="0"/>
        <v>38.0526363318266</v>
      </c>
    </row>
    <row r="17" spans="1:12">
      <c r="A17" s="9" t="s">
        <v>53</v>
      </c>
      <c r="B17" s="9">
        <v>1024</v>
      </c>
      <c r="C17" s="9">
        <v>16384</v>
      </c>
      <c r="D17" s="9">
        <v>32</v>
      </c>
      <c r="E17" s="9">
        <v>64</v>
      </c>
      <c r="F17" s="61">
        <v>0.0419303823156282</v>
      </c>
      <c r="G17" s="11">
        <v>42.9367114912033</v>
      </c>
      <c r="H17" s="11">
        <v>686.987383859253</v>
      </c>
      <c r="I17" s="11">
        <v>729.924095350456</v>
      </c>
      <c r="J17" s="11">
        <v>992.858103047183</v>
      </c>
      <c r="K17" s="11">
        <v>35.0726105610395</v>
      </c>
      <c r="L17" s="35">
        <f t="shared" si="0"/>
        <v>28.5122773584141</v>
      </c>
    </row>
    <row r="18" spans="1:12">
      <c r="A18" s="9" t="s">
        <v>54</v>
      </c>
      <c r="B18" s="9">
        <v>1024</v>
      </c>
      <c r="C18" s="9">
        <v>16384</v>
      </c>
      <c r="D18" s="9">
        <v>64</v>
      </c>
      <c r="E18" s="9">
        <v>128</v>
      </c>
      <c r="F18" s="61">
        <v>0.0670660562888699</v>
      </c>
      <c r="G18" s="11">
        <v>68.6756416398027</v>
      </c>
      <c r="H18" s="11">
        <v>1098.81026623684</v>
      </c>
      <c r="I18" s="11">
        <v>1167.48590787664</v>
      </c>
      <c r="J18" s="11">
        <v>1910.44502942804</v>
      </c>
      <c r="K18" s="11">
        <v>46.7170628142255</v>
      </c>
      <c r="L18" s="35">
        <f t="shared" si="0"/>
        <v>21.405455303913</v>
      </c>
    </row>
    <row r="19" spans="1:12">
      <c r="A19" s="9" t="s">
        <v>153</v>
      </c>
      <c r="B19" s="9">
        <v>8192</v>
      </c>
      <c r="C19" s="9">
        <v>1024</v>
      </c>
      <c r="D19" s="9">
        <v>1</v>
      </c>
      <c r="E19" s="9">
        <v>32</v>
      </c>
      <c r="F19" s="61">
        <v>0.0317442311987522</v>
      </c>
      <c r="G19" s="11">
        <v>260.048741980178</v>
      </c>
      <c r="H19" s="11">
        <v>32.5060927475222</v>
      </c>
      <c r="I19" s="11">
        <v>292.5548347277</v>
      </c>
      <c r="J19" s="11">
        <v>1018.66970436458</v>
      </c>
      <c r="K19" s="11">
        <v>29.7974947942421</v>
      </c>
      <c r="L19" s="35">
        <f t="shared" si="0"/>
        <v>33.5598682676248</v>
      </c>
    </row>
    <row r="20" spans="1:12">
      <c r="A20" s="9" t="s">
        <v>56</v>
      </c>
      <c r="B20" s="9">
        <v>8192</v>
      </c>
      <c r="C20" s="9">
        <v>1024</v>
      </c>
      <c r="D20" s="9">
        <v>2</v>
      </c>
      <c r="E20" s="9">
        <v>32</v>
      </c>
      <c r="F20" s="61">
        <v>0.0739707512742604</v>
      </c>
      <c r="G20" s="11">
        <v>605.968394438741</v>
      </c>
      <c r="H20" s="11">
        <v>75.7460493048427</v>
      </c>
      <c r="I20" s="11">
        <v>681.714443743584</v>
      </c>
      <c r="J20" s="11">
        <v>1157.49361509006</v>
      </c>
      <c r="K20" s="11">
        <v>25.2198905563556</v>
      </c>
      <c r="L20" s="35">
        <f t="shared" si="0"/>
        <v>39.6512426477597</v>
      </c>
    </row>
    <row r="21" spans="1:12">
      <c r="A21" s="9" t="s">
        <v>57</v>
      </c>
      <c r="B21" s="9">
        <v>8192</v>
      </c>
      <c r="C21" s="9">
        <v>1024</v>
      </c>
      <c r="D21" s="9">
        <v>4</v>
      </c>
      <c r="E21" s="9">
        <v>32</v>
      </c>
      <c r="F21" s="61">
        <v>0.122914054838518</v>
      </c>
      <c r="G21" s="11">
        <v>1006.91193723714</v>
      </c>
      <c r="H21" s="11">
        <v>125.863992154643</v>
      </c>
      <c r="I21" s="11">
        <v>1132.77592939179</v>
      </c>
      <c r="J21" s="11">
        <v>1293.70621223279</v>
      </c>
      <c r="K21" s="11">
        <v>29.3694723567998</v>
      </c>
      <c r="L21" s="35">
        <f t="shared" si="0"/>
        <v>34.0489603575896</v>
      </c>
    </row>
    <row r="22" spans="1:12">
      <c r="A22" s="9" t="s">
        <v>58</v>
      </c>
      <c r="B22" s="9">
        <v>8192</v>
      </c>
      <c r="C22" s="9">
        <v>1024</v>
      </c>
      <c r="D22" s="9">
        <v>8</v>
      </c>
      <c r="E22" s="9">
        <v>32</v>
      </c>
      <c r="F22" s="61">
        <v>0.217658564513386</v>
      </c>
      <c r="G22" s="11">
        <v>1783.05896049366</v>
      </c>
      <c r="H22" s="11">
        <v>222.882370061708</v>
      </c>
      <c r="I22" s="11">
        <v>2005.94133055537</v>
      </c>
      <c r="J22" s="11">
        <v>1718.27538894649</v>
      </c>
      <c r="K22" s="11">
        <v>32.4309149026537</v>
      </c>
      <c r="L22" s="35">
        <f t="shared" si="0"/>
        <v>30.8347761079714</v>
      </c>
    </row>
    <row r="23" spans="1:12">
      <c r="A23" s="9" t="s">
        <v>59</v>
      </c>
      <c r="B23" s="9">
        <v>8192</v>
      </c>
      <c r="C23" s="9">
        <v>1024</v>
      </c>
      <c r="D23" s="9">
        <v>16</v>
      </c>
      <c r="E23" s="9">
        <v>64</v>
      </c>
      <c r="F23" s="61">
        <v>0.319031759175671</v>
      </c>
      <c r="G23" s="11">
        <v>2613.5081711671</v>
      </c>
      <c r="H23" s="11">
        <v>326.688521395887</v>
      </c>
      <c r="I23" s="11">
        <v>2940.19669256299</v>
      </c>
      <c r="J23" s="11">
        <v>2778.26828578326</v>
      </c>
      <c r="K23" s="11">
        <v>42.8147871910245</v>
      </c>
      <c r="L23" s="35">
        <f t="shared" si="0"/>
        <v>23.3564164534639</v>
      </c>
    </row>
    <row r="24" spans="1:12">
      <c r="A24" s="9" t="s">
        <v>60</v>
      </c>
      <c r="B24" s="9">
        <v>8192</v>
      </c>
      <c r="C24" s="9">
        <v>1024</v>
      </c>
      <c r="D24" s="9">
        <v>32</v>
      </c>
      <c r="E24" s="9">
        <v>128</v>
      </c>
      <c r="F24" s="61">
        <v>0.459509079787523</v>
      </c>
      <c r="G24" s="11">
        <v>3764.29838161938</v>
      </c>
      <c r="H24" s="11">
        <v>470.537297702423</v>
      </c>
      <c r="I24" s="11">
        <v>4234.83567932181</v>
      </c>
      <c r="J24" s="11">
        <v>3684.17859488909</v>
      </c>
      <c r="K24" s="11">
        <v>60.4194185916631</v>
      </c>
      <c r="L24" s="35">
        <f t="shared" si="0"/>
        <v>16.5509702560757</v>
      </c>
    </row>
    <row r="25" spans="1:12">
      <c r="A25" s="9" t="s">
        <v>61</v>
      </c>
      <c r="B25" s="9">
        <v>8192</v>
      </c>
      <c r="C25" s="9">
        <v>1024</v>
      </c>
      <c r="D25" s="9">
        <v>64</v>
      </c>
      <c r="E25" s="9">
        <v>256</v>
      </c>
      <c r="F25" s="61">
        <v>0.629063567427717</v>
      </c>
      <c r="G25" s="11">
        <v>5153.28874436786</v>
      </c>
      <c r="H25" s="11">
        <v>644.161093045982</v>
      </c>
      <c r="I25" s="11">
        <v>5797.44983741384</v>
      </c>
      <c r="J25" s="11">
        <v>6038.26742943783</v>
      </c>
      <c r="K25" s="11">
        <v>88.0011884637079</v>
      </c>
      <c r="L25" s="35">
        <f t="shared" si="0"/>
        <v>11.3634828967384</v>
      </c>
    </row>
    <row r="26" spans="1:12">
      <c r="A26" s="9" t="s">
        <v>62</v>
      </c>
      <c r="B26" s="9">
        <v>8192</v>
      </c>
      <c r="C26" s="9">
        <v>1024</v>
      </c>
      <c r="D26" s="9">
        <v>128</v>
      </c>
      <c r="E26" s="9">
        <v>512</v>
      </c>
      <c r="F26" s="61">
        <v>0.7544114220451</v>
      </c>
      <c r="G26" s="11">
        <v>6180.13836939346</v>
      </c>
      <c r="H26" s="11">
        <v>772.517296174183</v>
      </c>
      <c r="I26" s="11">
        <v>6952.65566556765</v>
      </c>
      <c r="J26" s="11">
        <v>11217.9148728268</v>
      </c>
      <c r="K26" s="11">
        <v>149.405420713868</v>
      </c>
      <c r="L26" s="35">
        <f t="shared" si="0"/>
        <v>6.69319757758414</v>
      </c>
    </row>
    <row r="27" spans="1:12">
      <c r="A27" s="9" t="s">
        <v>63</v>
      </c>
      <c r="B27" s="9">
        <v>8192</v>
      </c>
      <c r="C27" s="9">
        <v>1024</v>
      </c>
      <c r="D27" s="9">
        <v>256</v>
      </c>
      <c r="E27" s="9">
        <v>1024</v>
      </c>
      <c r="F27" s="61">
        <v>1.041933681253</v>
      </c>
      <c r="G27" s="11">
        <v>8535.52071682465</v>
      </c>
      <c r="H27" s="11">
        <v>1066.94008960308</v>
      </c>
      <c r="I27" s="11">
        <v>9602.46080642773</v>
      </c>
      <c r="J27" s="11">
        <v>19146.7441950333</v>
      </c>
      <c r="K27" s="11">
        <v>213.864878098617</v>
      </c>
      <c r="L27" s="35">
        <f t="shared" si="0"/>
        <v>4.67584957796989</v>
      </c>
    </row>
    <row r="28" spans="1:12">
      <c r="A28" s="9" t="s">
        <v>163</v>
      </c>
      <c r="B28" s="9">
        <v>8192</v>
      </c>
      <c r="C28" s="9">
        <v>16384</v>
      </c>
      <c r="D28" s="9">
        <v>2</v>
      </c>
      <c r="E28" s="9">
        <v>8</v>
      </c>
      <c r="F28" s="61">
        <v>0.00289701434483672</v>
      </c>
      <c r="G28" s="11">
        <v>23.7323415129024</v>
      </c>
      <c r="H28" s="11">
        <v>47.4646830258049</v>
      </c>
      <c r="I28" s="11">
        <v>71.1970245387074</v>
      </c>
      <c r="J28" s="11">
        <v>1082.29910774389</v>
      </c>
      <c r="K28" s="11">
        <v>41.8046874885934</v>
      </c>
      <c r="L28" s="35">
        <f t="shared" si="0"/>
        <v>23.9207624808308</v>
      </c>
    </row>
    <row r="29" spans="1:12">
      <c r="A29" s="9" t="s">
        <v>66</v>
      </c>
      <c r="B29" s="9">
        <v>8192</v>
      </c>
      <c r="C29" s="9">
        <v>16384</v>
      </c>
      <c r="D29" s="9">
        <v>4</v>
      </c>
      <c r="E29" s="9">
        <v>16</v>
      </c>
      <c r="F29" s="61">
        <v>0.00581461028120701</v>
      </c>
      <c r="G29" s="11">
        <v>47.6332874236478</v>
      </c>
      <c r="H29" s="11">
        <v>95.2665748472957</v>
      </c>
      <c r="I29" s="11">
        <v>142.899862270943</v>
      </c>
      <c r="J29" s="11">
        <v>1461.7399447452</v>
      </c>
      <c r="K29" s="11">
        <v>38.0792676540121</v>
      </c>
      <c r="L29" s="35">
        <f t="shared" si="0"/>
        <v>26.261009247499</v>
      </c>
    </row>
    <row r="30" spans="1:12">
      <c r="A30" s="9" t="s">
        <v>67</v>
      </c>
      <c r="B30" s="9">
        <v>8192</v>
      </c>
      <c r="C30" s="9">
        <v>16384</v>
      </c>
      <c r="D30" s="9">
        <v>8</v>
      </c>
      <c r="E30" s="9">
        <v>16</v>
      </c>
      <c r="F30" s="61">
        <v>0.0114879960807087</v>
      </c>
      <c r="G30" s="11">
        <v>94.109663893166</v>
      </c>
      <c r="H30" s="11">
        <v>188.219327786332</v>
      </c>
      <c r="I30" s="11">
        <v>282.328991679497</v>
      </c>
      <c r="J30" s="11">
        <v>2068.88470191188</v>
      </c>
      <c r="K30" s="11">
        <v>36.7518105125586</v>
      </c>
      <c r="L30" s="35">
        <f t="shared" si="0"/>
        <v>27.2095438579356</v>
      </c>
    </row>
    <row r="31" spans="1:12">
      <c r="A31" s="9" t="s">
        <v>68</v>
      </c>
      <c r="B31" s="9">
        <v>8192</v>
      </c>
      <c r="C31" s="9">
        <v>16384</v>
      </c>
      <c r="D31" s="9">
        <v>16</v>
      </c>
      <c r="E31" s="9">
        <v>32</v>
      </c>
      <c r="F31" s="61">
        <v>0.0210743454397356</v>
      </c>
      <c r="G31" s="11">
        <v>172.641037842314</v>
      </c>
      <c r="H31" s="11">
        <v>345.282075684629</v>
      </c>
      <c r="I31" s="11">
        <v>517.923113526944</v>
      </c>
      <c r="J31" s="11">
        <v>3205.40186289508</v>
      </c>
      <c r="K31" s="11">
        <v>39.0301005957228</v>
      </c>
      <c r="L31" s="35">
        <f t="shared" si="0"/>
        <v>25.6212508996092</v>
      </c>
    </row>
    <row r="32" spans="1:12">
      <c r="A32" s="9" t="s">
        <v>69</v>
      </c>
      <c r="B32" s="9">
        <v>8192</v>
      </c>
      <c r="C32" s="9">
        <v>16384</v>
      </c>
      <c r="D32" s="9">
        <v>32</v>
      </c>
      <c r="E32" s="9">
        <v>64</v>
      </c>
      <c r="F32" s="61">
        <v>0.0365704274571472</v>
      </c>
      <c r="G32" s="11">
        <v>299.584941728949</v>
      </c>
      <c r="H32" s="11">
        <v>599.169883457899</v>
      </c>
      <c r="I32" s="11">
        <v>898.75482518685</v>
      </c>
      <c r="J32" s="11">
        <v>4969.95403553228</v>
      </c>
      <c r="K32" s="11">
        <v>46.2284678336917</v>
      </c>
      <c r="L32" s="35">
        <f t="shared" ref="L32:L53" si="1">1000/K32</f>
        <v>21.6316924800002</v>
      </c>
    </row>
    <row r="33" spans="1:12">
      <c r="A33" s="9" t="s">
        <v>71</v>
      </c>
      <c r="B33" s="9">
        <v>32768</v>
      </c>
      <c r="C33" s="9">
        <v>1024</v>
      </c>
      <c r="D33" s="9">
        <v>1</v>
      </c>
      <c r="E33" s="9">
        <v>32</v>
      </c>
      <c r="F33" s="61">
        <v>0.0312521442575637</v>
      </c>
      <c r="G33" s="11">
        <v>1024.07026303184</v>
      </c>
      <c r="H33" s="11">
        <v>32.0021957197453</v>
      </c>
      <c r="I33" s="11">
        <v>1056.07245875159</v>
      </c>
      <c r="J33" s="11">
        <v>3568.20124744263</v>
      </c>
      <c r="K33" s="11">
        <v>27.7901258293008</v>
      </c>
      <c r="L33" s="35">
        <f t="shared" si="1"/>
        <v>35.9840040359098</v>
      </c>
    </row>
    <row r="34" spans="1:12">
      <c r="A34" s="9" t="s">
        <v>72</v>
      </c>
      <c r="B34" s="9">
        <v>32768</v>
      </c>
      <c r="C34" s="9">
        <v>1024</v>
      </c>
      <c r="D34" s="9">
        <v>2</v>
      </c>
      <c r="E34" s="9">
        <v>32</v>
      </c>
      <c r="F34" s="61">
        <v>0.0546660811021548</v>
      </c>
      <c r="G34" s="11">
        <v>1791.29814555541</v>
      </c>
      <c r="H34" s="11">
        <v>55.9780670486065</v>
      </c>
      <c r="I34" s="11">
        <v>1847.27621260401</v>
      </c>
      <c r="J34" s="11">
        <v>4321.34198207131</v>
      </c>
      <c r="K34" s="11">
        <v>31.221604120877</v>
      </c>
      <c r="L34" s="35">
        <f t="shared" si="1"/>
        <v>32.0291038259411</v>
      </c>
    </row>
    <row r="35" spans="1:12">
      <c r="A35" s="9" t="s">
        <v>73</v>
      </c>
      <c r="B35" s="9">
        <v>32768</v>
      </c>
      <c r="C35" s="9">
        <v>1024</v>
      </c>
      <c r="D35" s="9">
        <v>4</v>
      </c>
      <c r="E35" s="9">
        <v>32</v>
      </c>
      <c r="F35" s="61">
        <v>0.0943706560444668</v>
      </c>
      <c r="G35" s="11">
        <v>3092.33765726509</v>
      </c>
      <c r="H35" s="11">
        <v>96.635551789534</v>
      </c>
      <c r="I35" s="11">
        <v>3188.97320905462</v>
      </c>
      <c r="J35" s="11">
        <v>5132.14534830694</v>
      </c>
      <c r="K35" s="11">
        <v>35.7387081799999</v>
      </c>
      <c r="L35" s="35">
        <f t="shared" si="1"/>
        <v>27.9808658713529</v>
      </c>
    </row>
    <row r="36" spans="1:12">
      <c r="A36" s="9" t="s">
        <v>74</v>
      </c>
      <c r="B36" s="9">
        <v>32768</v>
      </c>
      <c r="C36" s="9">
        <v>1024</v>
      </c>
      <c r="D36" s="9">
        <v>8</v>
      </c>
      <c r="E36" s="9">
        <v>32</v>
      </c>
      <c r="F36" s="61">
        <v>0.134564588288066</v>
      </c>
      <c r="G36" s="11">
        <v>4409.41242902334</v>
      </c>
      <c r="H36" s="11">
        <v>137.794138406979</v>
      </c>
      <c r="I36" s="11">
        <v>4547.20656743032</v>
      </c>
      <c r="J36" s="11">
        <v>6526.75939194159</v>
      </c>
      <c r="K36" s="11">
        <v>48.8013018679951</v>
      </c>
      <c r="L36" s="35">
        <f t="shared" si="1"/>
        <v>20.4912566206727</v>
      </c>
    </row>
    <row r="37" spans="1:12">
      <c r="A37" s="9" t="s">
        <v>75</v>
      </c>
      <c r="B37" s="9">
        <v>32768</v>
      </c>
      <c r="C37" s="9">
        <v>1024</v>
      </c>
      <c r="D37" s="9">
        <v>16</v>
      </c>
      <c r="E37" s="9">
        <v>64</v>
      </c>
      <c r="F37" s="61">
        <v>0.172859735161295</v>
      </c>
      <c r="G37" s="11">
        <v>5664.26780176532</v>
      </c>
      <c r="H37" s="11">
        <v>177.008368805166</v>
      </c>
      <c r="I37" s="11">
        <v>5841.27617057049</v>
      </c>
      <c r="J37" s="11">
        <v>8669.7507119843</v>
      </c>
      <c r="K37" s="11">
        <v>74.4882577089852</v>
      </c>
      <c r="L37" s="35">
        <f t="shared" si="1"/>
        <v>13.4249347582656</v>
      </c>
    </row>
    <row r="38" spans="1:12">
      <c r="A38" s="9" t="s">
        <v>76</v>
      </c>
      <c r="B38" s="9">
        <v>32768</v>
      </c>
      <c r="C38" s="9">
        <v>1024</v>
      </c>
      <c r="D38" s="9">
        <v>32</v>
      </c>
      <c r="E38" s="9">
        <v>128</v>
      </c>
      <c r="F38" s="61">
        <v>0.215543119994647</v>
      </c>
      <c r="G38" s="11">
        <v>7062.91695598461</v>
      </c>
      <c r="H38" s="11">
        <v>220.716154874519</v>
      </c>
      <c r="I38" s="11">
        <v>7283.63311085913</v>
      </c>
      <c r="J38" s="11">
        <v>12300.8826891573</v>
      </c>
      <c r="K38" s="11">
        <v>127.727577610505</v>
      </c>
      <c r="L38" s="35">
        <f t="shared" si="1"/>
        <v>7.82916280655866</v>
      </c>
    </row>
    <row r="39" spans="1:12">
      <c r="A39" s="9" t="s">
        <v>77</v>
      </c>
      <c r="B39" s="9">
        <v>32768</v>
      </c>
      <c r="C39" s="9">
        <v>1024</v>
      </c>
      <c r="D39" s="9">
        <v>64</v>
      </c>
      <c r="E39" s="9">
        <v>256</v>
      </c>
      <c r="F39" s="61">
        <v>0.275932742339963</v>
      </c>
      <c r="G39" s="11">
        <v>9041.76410099591</v>
      </c>
      <c r="H39" s="11">
        <v>282.555128156122</v>
      </c>
      <c r="I39" s="11">
        <v>9324.31922915203</v>
      </c>
      <c r="J39" s="11">
        <v>20347.1928325702</v>
      </c>
      <c r="K39" s="11">
        <v>201.702681336997</v>
      </c>
      <c r="L39" s="35">
        <f t="shared" si="1"/>
        <v>4.95779229790822</v>
      </c>
    </row>
    <row r="40" spans="1:12">
      <c r="A40" s="9" t="s">
        <v>78</v>
      </c>
      <c r="B40" s="9">
        <v>32768</v>
      </c>
      <c r="C40" s="9">
        <v>16384</v>
      </c>
      <c r="D40" s="9">
        <v>1</v>
      </c>
      <c r="E40" s="9">
        <v>4</v>
      </c>
      <c r="F40" s="61">
        <v>0.00175179910851598</v>
      </c>
      <c r="G40" s="11">
        <v>57.4029531878519</v>
      </c>
      <c r="H40" s="11">
        <v>28.7014765939259</v>
      </c>
      <c r="I40" s="11">
        <v>86.1044297817778</v>
      </c>
      <c r="J40" s="11">
        <v>3557.60803248267</v>
      </c>
      <c r="K40" s="11">
        <v>34.626362148508</v>
      </c>
      <c r="L40" s="35">
        <f t="shared" si="1"/>
        <v>28.8797302965622</v>
      </c>
    </row>
    <row r="41" spans="1:12">
      <c r="A41" s="9" t="s">
        <v>79</v>
      </c>
      <c r="B41" s="9">
        <v>32768</v>
      </c>
      <c r="C41" s="9">
        <v>16384</v>
      </c>
      <c r="D41" s="9">
        <v>2</v>
      </c>
      <c r="E41" s="9">
        <v>8</v>
      </c>
      <c r="F41" s="61">
        <v>0.00336420845330969</v>
      </c>
      <c r="G41" s="11">
        <v>110.238382598052</v>
      </c>
      <c r="H41" s="11">
        <v>55.119191299026</v>
      </c>
      <c r="I41" s="11">
        <v>165.357573897078</v>
      </c>
      <c r="J41" s="11">
        <v>3991.33034201804</v>
      </c>
      <c r="K41" s="11">
        <v>32.4141742407674</v>
      </c>
      <c r="L41" s="35">
        <f t="shared" si="1"/>
        <v>30.8507010720729</v>
      </c>
    </row>
    <row r="42" spans="1:12">
      <c r="A42" s="9" t="s">
        <v>80</v>
      </c>
      <c r="B42" s="9">
        <v>32768</v>
      </c>
      <c r="C42" s="9">
        <v>16384</v>
      </c>
      <c r="D42" s="9">
        <v>4</v>
      </c>
      <c r="E42" s="9">
        <v>16</v>
      </c>
      <c r="F42" s="61">
        <v>0.00679563003748892</v>
      </c>
      <c r="G42" s="11">
        <v>222.679205068437</v>
      </c>
      <c r="H42" s="11">
        <v>111.339602534218</v>
      </c>
      <c r="I42" s="11">
        <v>334.018807602655</v>
      </c>
      <c r="J42" s="11">
        <v>5098.34052986116</v>
      </c>
      <c r="K42" s="11">
        <v>29.9166169999435</v>
      </c>
      <c r="L42" s="35">
        <f t="shared" si="1"/>
        <v>33.4262393372181</v>
      </c>
    </row>
    <row r="43" spans="1:12">
      <c r="A43" s="9" t="s">
        <v>81</v>
      </c>
      <c r="B43" s="9">
        <v>32768</v>
      </c>
      <c r="C43" s="9">
        <v>16384</v>
      </c>
      <c r="D43" s="9">
        <v>8</v>
      </c>
      <c r="E43" s="9">
        <v>16</v>
      </c>
      <c r="F43" s="61">
        <v>0.0114554291616424</v>
      </c>
      <c r="G43" s="11">
        <v>375.371502768699</v>
      </c>
      <c r="H43" s="11">
        <v>187.685751384349</v>
      </c>
      <c r="I43" s="11">
        <v>563.057254153048</v>
      </c>
      <c r="J43" s="11">
        <v>7595.5404422566</v>
      </c>
      <c r="K43" s="11">
        <v>28.1262991556827</v>
      </c>
      <c r="L43" s="35">
        <f t="shared" si="1"/>
        <v>35.5539132420114</v>
      </c>
    </row>
    <row r="44" spans="1:12">
      <c r="A44" s="9" t="s">
        <v>82</v>
      </c>
      <c r="B44" s="9">
        <v>32768</v>
      </c>
      <c r="C44" s="9">
        <v>16384</v>
      </c>
      <c r="D44" s="9">
        <v>16</v>
      </c>
      <c r="E44" s="9">
        <v>32</v>
      </c>
      <c r="F44" s="61">
        <v>0.0196249902084986</v>
      </c>
      <c r="G44" s="11">
        <v>643.071679152083</v>
      </c>
      <c r="H44" s="11">
        <v>321.535839576041</v>
      </c>
      <c r="I44" s="11">
        <v>964.607518728124</v>
      </c>
      <c r="J44" s="11">
        <v>11747.034700973</v>
      </c>
      <c r="K44" s="11">
        <v>36.6636576598487</v>
      </c>
      <c r="L44" s="35">
        <f t="shared" si="1"/>
        <v>27.2749655606545</v>
      </c>
    </row>
    <row r="45" spans="1:12">
      <c r="A45" s="9" t="s">
        <v>83</v>
      </c>
      <c r="B45" s="9">
        <v>32768</v>
      </c>
      <c r="C45" s="9">
        <v>16384</v>
      </c>
      <c r="D45" s="9">
        <v>32</v>
      </c>
      <c r="E45" s="9">
        <v>64</v>
      </c>
      <c r="F45" s="61">
        <v>0.0348893219706077</v>
      </c>
      <c r="G45" s="11">
        <v>1143.25330233287</v>
      </c>
      <c r="H45" s="11">
        <v>571.626651166437</v>
      </c>
      <c r="I45" s="11">
        <v>1714.87995349931</v>
      </c>
      <c r="J45" s="11">
        <v>18410.156192278</v>
      </c>
      <c r="K45" s="11">
        <v>41.5806351143565</v>
      </c>
      <c r="L45" s="35">
        <f t="shared" si="1"/>
        <v>24.0496567031688</v>
      </c>
    </row>
    <row r="46" spans="1:12">
      <c r="A46" s="9" t="s">
        <v>84</v>
      </c>
      <c r="B46" s="9">
        <v>65536</v>
      </c>
      <c r="C46" s="9">
        <v>1024</v>
      </c>
      <c r="D46" s="9">
        <v>1</v>
      </c>
      <c r="E46" s="9">
        <v>16</v>
      </c>
      <c r="F46" s="61">
        <v>0.0274825995762961</v>
      </c>
      <c r="G46" s="11">
        <v>1801.09964583214</v>
      </c>
      <c r="H46" s="11">
        <v>28.1421819661272</v>
      </c>
      <c r="I46" s="11">
        <v>1829.24182779827</v>
      </c>
      <c r="J46" s="11">
        <v>7513.23954780673</v>
      </c>
      <c r="K46" s="11">
        <v>28.2239422639677</v>
      </c>
      <c r="L46" s="35">
        <f t="shared" si="1"/>
        <v>35.4309114810179</v>
      </c>
    </row>
    <row r="47" spans="1:12">
      <c r="A47" s="9" t="s">
        <v>85</v>
      </c>
      <c r="B47" s="9">
        <v>65536</v>
      </c>
      <c r="C47" s="9">
        <v>1024</v>
      </c>
      <c r="D47" s="9">
        <v>2</v>
      </c>
      <c r="E47" s="9">
        <v>16</v>
      </c>
      <c r="F47" s="61">
        <v>0.0400224110049014</v>
      </c>
      <c r="G47" s="11">
        <v>2622.90872761722</v>
      </c>
      <c r="H47" s="11">
        <v>40.982948869019</v>
      </c>
      <c r="I47" s="11">
        <v>2663.89167648623</v>
      </c>
      <c r="J47" s="11">
        <v>9124.12412849516</v>
      </c>
      <c r="K47" s="11">
        <v>37.6461101156706</v>
      </c>
      <c r="L47" s="35">
        <f t="shared" si="1"/>
        <v>26.5631693932633</v>
      </c>
    </row>
    <row r="48" spans="1:12">
      <c r="A48" s="9" t="s">
        <v>86</v>
      </c>
      <c r="B48" s="9">
        <v>65536</v>
      </c>
      <c r="C48" s="9">
        <v>1024</v>
      </c>
      <c r="D48" s="9">
        <v>4</v>
      </c>
      <c r="E48" s="9">
        <v>16</v>
      </c>
      <c r="F48" s="61">
        <v>0.0749912941632833</v>
      </c>
      <c r="G48" s="11">
        <v>4914.62945428493</v>
      </c>
      <c r="H48" s="11">
        <v>76.7910852232021</v>
      </c>
      <c r="I48" s="11">
        <v>4991.42053950813</v>
      </c>
      <c r="J48" s="11">
        <v>10912.5197643152</v>
      </c>
      <c r="K48" s="11">
        <v>41.0848662250167</v>
      </c>
      <c r="L48" s="35">
        <f t="shared" si="1"/>
        <v>24.3398626278378</v>
      </c>
    </row>
    <row r="49" spans="1:12">
      <c r="A49" s="9" t="s">
        <v>87</v>
      </c>
      <c r="B49" s="9">
        <v>65536</v>
      </c>
      <c r="C49" s="9">
        <v>1024</v>
      </c>
      <c r="D49" s="9">
        <v>8</v>
      </c>
      <c r="E49" s="9">
        <v>16</v>
      </c>
      <c r="F49" s="61">
        <v>0.0913448172367513</v>
      </c>
      <c r="G49" s="11">
        <v>5986.37394242773</v>
      </c>
      <c r="H49" s="11">
        <v>93.5370928504333</v>
      </c>
      <c r="I49" s="11">
        <v>6079.91103527816</v>
      </c>
      <c r="J49" s="11">
        <v>17615.1683829812</v>
      </c>
      <c r="K49" s="11">
        <v>65.3200013360362</v>
      </c>
      <c r="L49" s="35">
        <f t="shared" si="1"/>
        <v>15.3092464719273</v>
      </c>
    </row>
    <row r="50" spans="1:12">
      <c r="A50" s="9" t="s">
        <v>88</v>
      </c>
      <c r="B50" s="9">
        <v>65536</v>
      </c>
      <c r="C50" s="9">
        <v>1024</v>
      </c>
      <c r="D50" s="9">
        <v>16</v>
      </c>
      <c r="E50" s="9">
        <v>32</v>
      </c>
      <c r="F50" s="61">
        <v>0.125067220835281</v>
      </c>
      <c r="G50" s="11">
        <v>8196.40538466102</v>
      </c>
      <c r="H50" s="11">
        <v>128.068834135328</v>
      </c>
      <c r="I50" s="11">
        <v>8324.47421879635</v>
      </c>
      <c r="J50" s="11">
        <v>24379.9840518695</v>
      </c>
      <c r="K50" s="11">
        <v>92.7781839698507</v>
      </c>
      <c r="L50" s="35">
        <f t="shared" si="1"/>
        <v>10.7783959246816</v>
      </c>
    </row>
    <row r="51" spans="1:12">
      <c r="A51" s="9" t="s">
        <v>89</v>
      </c>
      <c r="B51" s="9">
        <v>65536</v>
      </c>
      <c r="C51" s="9">
        <v>1024</v>
      </c>
      <c r="D51" s="9">
        <v>32</v>
      </c>
      <c r="E51" s="9">
        <v>64</v>
      </c>
      <c r="F51" s="61">
        <v>0.152108294248939</v>
      </c>
      <c r="G51" s="11">
        <v>9968.56917189847</v>
      </c>
      <c r="H51" s="11">
        <v>155.758893310913</v>
      </c>
      <c r="I51" s="11">
        <v>10124.3280652093</v>
      </c>
      <c r="J51" s="11">
        <v>41272.1962446121</v>
      </c>
      <c r="K51" s="11">
        <v>156.948937464478</v>
      </c>
      <c r="L51" s="35">
        <f t="shared" si="1"/>
        <v>6.37149901206772</v>
      </c>
    </row>
    <row r="52" spans="1:12">
      <c r="A52" s="9" t="s">
        <v>90</v>
      </c>
      <c r="B52" s="9">
        <v>65536</v>
      </c>
      <c r="C52" s="9">
        <v>1024</v>
      </c>
      <c r="D52" s="9">
        <v>64</v>
      </c>
      <c r="E52" s="9">
        <v>128</v>
      </c>
      <c r="F52" s="61">
        <v>0.179087046470389</v>
      </c>
      <c r="G52" s="11">
        <v>11736.6486774834</v>
      </c>
      <c r="H52" s="11">
        <v>183.385135585678</v>
      </c>
      <c r="I52" s="11">
        <v>11920.033813069</v>
      </c>
      <c r="J52" s="11">
        <v>74540.771681065</v>
      </c>
      <c r="K52" s="11">
        <v>265.238443833178</v>
      </c>
      <c r="L52" s="35">
        <f t="shared" si="1"/>
        <v>3.77019253147538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4"/>
  <sheetViews>
    <sheetView workbookViewId="0">
      <selection activeCell="H14" sqref="H14"/>
    </sheetView>
  </sheetViews>
  <sheetFormatPr defaultColWidth="9.23333333333333" defaultRowHeight="13.5"/>
  <cols>
    <col min="9" max="9" width="15.3833333333333" customWidth="1"/>
    <col min="10" max="10" width="9.93333333333333" customWidth="1"/>
    <col min="11" max="11" width="12.925"/>
  </cols>
  <sheetData>
    <row r="1" ht="40.5" spans="1:16">
      <c r="A1" s="13" t="s">
        <v>11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t="s">
        <v>10</v>
      </c>
      <c r="P1" t="s">
        <v>226</v>
      </c>
    </row>
    <row r="2" spans="1:16">
      <c r="A2" s="9" t="s">
        <v>227</v>
      </c>
      <c r="B2" s="9">
        <v>128</v>
      </c>
      <c r="C2" s="9">
        <v>32</v>
      </c>
      <c r="D2" s="9">
        <v>1</v>
      </c>
      <c r="E2" s="9">
        <v>4</v>
      </c>
      <c r="F2" s="11">
        <v>0.18880874353543</v>
      </c>
      <c r="G2" s="11">
        <v>2.83213115303145</v>
      </c>
      <c r="H2" s="11">
        <v>13.7830382780864</v>
      </c>
      <c r="I2" s="11">
        <v>1242.35948332352</v>
      </c>
      <c r="J2" s="11">
        <v>290.98965666537</v>
      </c>
      <c r="K2" s="35">
        <f t="shared" ref="K2:K21" si="0">1000/J2</f>
        <v>3.43654826587177</v>
      </c>
    </row>
    <row r="3" spans="1:16">
      <c r="A3" s="9" t="s">
        <v>228</v>
      </c>
      <c r="B3" s="9">
        <v>1024</v>
      </c>
      <c r="C3" s="9">
        <v>128</v>
      </c>
      <c r="D3" s="9">
        <v>4</v>
      </c>
      <c r="E3" s="9">
        <v>16</v>
      </c>
      <c r="F3" s="11">
        <v>0.0847507584917541</v>
      </c>
      <c r="G3" s="11">
        <v>4.64010402742353</v>
      </c>
      <c r="H3" s="11">
        <v>53.3294147809362</v>
      </c>
      <c r="I3" s="11">
        <v>8300.39348563877</v>
      </c>
      <c r="J3" s="11">
        <v>743.910950032975</v>
      </c>
      <c r="K3" s="35">
        <f t="shared" si="0"/>
        <v>1.34424691551546</v>
      </c>
    </row>
    <row r="4" spans="1:16">
      <c r="A4" s="9" t="s">
        <v>229</v>
      </c>
      <c r="B4" s="9">
        <v>1024</v>
      </c>
      <c r="C4" s="9">
        <v>128</v>
      </c>
      <c r="D4" s="9">
        <v>8</v>
      </c>
      <c r="E4" s="9">
        <v>84</v>
      </c>
      <c r="F4" s="11">
        <v>0.115737797855588</v>
      </c>
      <c r="G4" s="11">
        <v>7.05311651455665</v>
      </c>
      <c r="H4" s="11">
        <v>65.8878749220744</v>
      </c>
      <c r="I4" s="11">
        <v>9326.90645132624</v>
      </c>
      <c r="J4" s="11">
        <v>959.199409228496</v>
      </c>
      <c r="K4" s="35">
        <f t="shared" si="0"/>
        <v>1.04253608830339</v>
      </c>
    </row>
    <row r="5" spans="1:16">
      <c r="A5" s="9" t="s">
        <v>13</v>
      </c>
      <c r="B5" s="9">
        <v>1024</v>
      </c>
      <c r="C5" s="9">
        <v>1024</v>
      </c>
      <c r="D5" s="9">
        <v>2</v>
      </c>
      <c r="E5" s="9">
        <v>32</v>
      </c>
      <c r="F5" s="11">
        <v>0.0112742045192675</v>
      </c>
      <c r="G5" s="11">
        <v>5.86047243667173</v>
      </c>
      <c r="H5" s="11">
        <v>11.8879440277851</v>
      </c>
      <c r="I5" s="11">
        <v>4617.98853614891</v>
      </c>
      <c r="J5" s="11">
        <v>324.585554303545</v>
      </c>
      <c r="K5" s="35">
        <f t="shared" si="0"/>
        <v>3.08085183318054</v>
      </c>
    </row>
    <row r="6" spans="1:16">
      <c r="A6" s="9" t="s">
        <v>14</v>
      </c>
      <c r="B6" s="9">
        <v>1024</v>
      </c>
      <c r="C6" s="9">
        <v>1024</v>
      </c>
      <c r="D6" s="9">
        <v>4</v>
      </c>
      <c r="E6" s="9">
        <v>32</v>
      </c>
      <c r="F6" s="11">
        <v>0.0188153640185478</v>
      </c>
      <c r="G6" s="11">
        <v>9.78046140889138</v>
      </c>
      <c r="H6" s="11">
        <v>19.8396253973075</v>
      </c>
      <c r="I6" s="11">
        <v>5872.48867342714</v>
      </c>
      <c r="J6" s="11">
        <v>386.58206375689</v>
      </c>
      <c r="K6" s="35">
        <f t="shared" si="0"/>
        <v>2.58677288408515</v>
      </c>
    </row>
    <row r="7" spans="1:16">
      <c r="A7" s="9" t="s">
        <v>15</v>
      </c>
      <c r="B7" s="9">
        <v>1024</v>
      </c>
      <c r="C7" s="9">
        <v>1024</v>
      </c>
      <c r="D7" s="9">
        <v>8</v>
      </c>
      <c r="E7" s="9">
        <v>32</v>
      </c>
      <c r="F7" s="11">
        <v>0.028995923879303</v>
      </c>
      <c r="G7" s="11">
        <v>15.0724436815102</v>
      </c>
      <c r="H7" s="11">
        <v>30.5743894854825</v>
      </c>
      <c r="I7" s="11">
        <v>10852.9791585751</v>
      </c>
      <c r="J7" s="11">
        <v>469.892594286744</v>
      </c>
      <c r="K7" s="35">
        <f t="shared" si="0"/>
        <v>2.12814590431652</v>
      </c>
    </row>
    <row r="8" spans="1:16">
      <c r="A8" s="9" t="s">
        <v>16</v>
      </c>
      <c r="B8" s="9">
        <v>1024</v>
      </c>
      <c r="C8" s="9">
        <v>1024</v>
      </c>
      <c r="D8" s="9">
        <v>16</v>
      </c>
      <c r="E8" s="9">
        <v>64</v>
      </c>
      <c r="F8" s="11">
        <v>0.041977854607315</v>
      </c>
      <c r="G8" s="11">
        <v>20.9174337700294</v>
      </c>
      <c r="H8" s="11">
        <v>43.0489458037798</v>
      </c>
      <c r="I8" s="11">
        <v>21754.146279618</v>
      </c>
      <c r="J8" s="11">
        <v>636.535633998603</v>
      </c>
      <c r="K8" s="35">
        <f t="shared" si="0"/>
        <v>1.57100395734042</v>
      </c>
    </row>
    <row r="9" spans="1:16">
      <c r="A9" s="9" t="s">
        <v>17</v>
      </c>
      <c r="B9" s="9">
        <v>1024</v>
      </c>
      <c r="C9" s="9">
        <v>1024</v>
      </c>
      <c r="D9" s="9">
        <v>32</v>
      </c>
      <c r="E9" s="9">
        <v>128</v>
      </c>
      <c r="F9" s="11">
        <v>0.0516394682149125</v>
      </c>
      <c r="G9" s="11">
        <v>26.6346694652228</v>
      </c>
      <c r="H9" s="11">
        <v>53.1132102257646</v>
      </c>
      <c r="I9" s="11">
        <v>26245.5015067862</v>
      </c>
      <c r="J9" s="11">
        <v>1070.08989784298</v>
      </c>
      <c r="K9" s="35">
        <f t="shared" si="0"/>
        <v>0.934500925591146</v>
      </c>
    </row>
    <row r="10" spans="1:16">
      <c r="A10" s="9" t="s">
        <v>18</v>
      </c>
      <c r="B10" s="9">
        <v>1024</v>
      </c>
      <c r="C10" s="9">
        <v>1024</v>
      </c>
      <c r="D10" s="9">
        <v>64</v>
      </c>
      <c r="E10" s="9">
        <v>256</v>
      </c>
      <c r="F10" s="11">
        <v>0.065458476191586</v>
      </c>
      <c r="G10" s="11">
        <v>32.5420677654327</v>
      </c>
      <c r="H10" s="11">
        <v>66.2053676328189</v>
      </c>
      <c r="I10" s="11">
        <v>51214.8925274032</v>
      </c>
      <c r="J10" s="11">
        <v>1809.90615811434</v>
      </c>
      <c r="K10" s="35">
        <f t="shared" si="0"/>
        <v>0.55251483372036</v>
      </c>
    </row>
    <row r="11" spans="1:16">
      <c r="A11" s="9" t="s">
        <v>19</v>
      </c>
      <c r="B11" s="9">
        <v>1024</v>
      </c>
      <c r="C11" s="9">
        <v>1024</v>
      </c>
      <c r="D11" s="9">
        <v>128</v>
      </c>
      <c r="E11" s="9">
        <v>512</v>
      </c>
      <c r="F11" s="11">
        <v>0.0738791977799568</v>
      </c>
      <c r="G11" s="11">
        <v>37.9414412145609</v>
      </c>
      <c r="H11" s="11">
        <v>75.3025266996863</v>
      </c>
      <c r="I11" s="11">
        <v>79963.0527558056</v>
      </c>
      <c r="J11" s="11">
        <v>3138.60339625462</v>
      </c>
      <c r="K11" s="35">
        <f t="shared" si="0"/>
        <v>0.318613049738405</v>
      </c>
    </row>
    <row r="12" spans="1:16">
      <c r="A12" s="9" t="s">
        <v>20</v>
      </c>
      <c r="B12" s="9">
        <v>1024</v>
      </c>
      <c r="C12" s="9">
        <v>1024</v>
      </c>
      <c r="D12" s="9">
        <v>256</v>
      </c>
      <c r="E12" s="9">
        <v>1024</v>
      </c>
      <c r="F12" s="11">
        <v>0.0729461692477837</v>
      </c>
      <c r="G12" s="11">
        <v>37.5507502961384</v>
      </c>
      <c r="H12" s="11">
        <v>74.7265116909874</v>
      </c>
      <c r="I12" s="11">
        <v>788863.084798366</v>
      </c>
      <c r="J12" s="11">
        <v>6056.76488085891</v>
      </c>
      <c r="K12" s="35">
        <f t="shared" si="0"/>
        <v>0.165104642440436</v>
      </c>
    </row>
    <row r="13" spans="1:16">
      <c r="A13" s="9" t="s">
        <v>21</v>
      </c>
      <c r="B13" s="9">
        <v>1024</v>
      </c>
      <c r="C13" s="9">
        <v>1024</v>
      </c>
      <c r="D13" s="9">
        <v>512</v>
      </c>
      <c r="E13" s="9">
        <v>2048</v>
      </c>
      <c r="F13" s="11">
        <v>0.0748874710253849</v>
      </c>
      <c r="G13" s="11">
        <v>37.7631042489892</v>
      </c>
      <c r="H13" s="11">
        <v>76.1207009315383</v>
      </c>
      <c r="I13" s="11">
        <v>3311256.89390991</v>
      </c>
      <c r="J13" s="11">
        <v>7222.73257069812</v>
      </c>
      <c r="K13" s="35">
        <f t="shared" si="0"/>
        <v>0.138451754957244</v>
      </c>
    </row>
    <row r="14" spans="1:16">
      <c r="A14" s="9" t="s">
        <v>23</v>
      </c>
      <c r="B14" s="9">
        <v>8192</v>
      </c>
      <c r="C14" s="9">
        <v>1024</v>
      </c>
      <c r="D14" s="9">
        <v>2</v>
      </c>
      <c r="E14" s="9">
        <v>32</v>
      </c>
      <c r="F14" s="11">
        <v>0.00829153412703349</v>
      </c>
      <c r="G14" s="11">
        <v>4.31004308340859</v>
      </c>
      <c r="H14" s="11">
        <v>40.0517373797523</v>
      </c>
      <c r="I14" s="11">
        <v>38062.2561338677</v>
      </c>
      <c r="J14" s="11">
        <v>371.549425164484</v>
      </c>
      <c r="K14" s="35">
        <f t="shared" si="0"/>
        <v>2.69143196643973</v>
      </c>
    </row>
    <row r="15" spans="1:16">
      <c r="A15" s="9" t="s">
        <v>24</v>
      </c>
      <c r="B15" s="9">
        <v>8192</v>
      </c>
      <c r="C15" s="9">
        <v>1024</v>
      </c>
      <c r="D15" s="9">
        <v>4</v>
      </c>
      <c r="E15" s="9">
        <v>32</v>
      </c>
      <c r="F15" s="11">
        <v>0.0124943035388373</v>
      </c>
      <c r="G15" s="11">
        <v>6.49469515828188</v>
      </c>
      <c r="H15" s="11">
        <v>60.3529523503826</v>
      </c>
      <c r="I15" s="11">
        <v>38527.0818120625</v>
      </c>
      <c r="J15" s="11">
        <v>523.763212299096</v>
      </c>
      <c r="K15" s="35">
        <f t="shared" si="0"/>
        <v>1.9092597122475</v>
      </c>
    </row>
    <row r="16" spans="1:16">
      <c r="A16" s="9" t="s">
        <v>25</v>
      </c>
      <c r="B16" s="9">
        <v>8192</v>
      </c>
      <c r="C16" s="9">
        <v>1024</v>
      </c>
      <c r="D16" s="9">
        <v>8</v>
      </c>
      <c r="E16" s="9">
        <v>32</v>
      </c>
      <c r="F16" s="11">
        <v>0.0162446792386709</v>
      </c>
      <c r="G16" s="11">
        <v>8.44418732675166</v>
      </c>
      <c r="H16" s="11">
        <v>78.4689077699478</v>
      </c>
      <c r="I16" s="11">
        <v>58681.0124327166</v>
      </c>
      <c r="J16" s="11">
        <v>778.389668906396</v>
      </c>
      <c r="K16" s="35">
        <f t="shared" si="0"/>
        <v>1.28470358734971</v>
      </c>
    </row>
    <row r="17" spans="1:11">
      <c r="A17" s="9" t="s">
        <v>26</v>
      </c>
      <c r="B17" s="9">
        <v>8192</v>
      </c>
      <c r="C17" s="9">
        <v>1024</v>
      </c>
      <c r="D17" s="9">
        <v>16</v>
      </c>
      <c r="E17" s="9">
        <v>64</v>
      </c>
      <c r="F17" s="11">
        <v>0.0198671854702299</v>
      </c>
      <c r="G17" s="11">
        <v>9.89975643486097</v>
      </c>
      <c r="H17" s="11">
        <v>91.5781018497978</v>
      </c>
      <c r="I17" s="11">
        <v>90497.6244012796</v>
      </c>
      <c r="J17" s="11">
        <v>1541.5402982186</v>
      </c>
      <c r="K17" s="35">
        <f t="shared" si="0"/>
        <v>0.648701821908644</v>
      </c>
    </row>
    <row r="18" spans="1:11">
      <c r="A18" s="9" t="s">
        <v>27</v>
      </c>
      <c r="B18" s="9">
        <v>8192</v>
      </c>
      <c r="C18" s="9">
        <v>1024</v>
      </c>
      <c r="D18" s="9">
        <v>32</v>
      </c>
      <c r="E18" s="9">
        <v>128</v>
      </c>
      <c r="F18" s="11">
        <v>0.022291259152143</v>
      </c>
      <c r="G18" s="11">
        <v>11.4974135095663</v>
      </c>
      <c r="H18" s="11">
        <v>99.0743720540105</v>
      </c>
      <c r="I18" s="11">
        <v>168316.75810261</v>
      </c>
      <c r="J18" s="11">
        <v>2611.83945936559</v>
      </c>
      <c r="K18" s="35">
        <f t="shared" si="0"/>
        <v>0.38287192438807</v>
      </c>
    </row>
    <row r="19" spans="1:11">
      <c r="A19" s="9" t="s">
        <v>28</v>
      </c>
      <c r="B19" s="9">
        <v>8192</v>
      </c>
      <c r="C19" s="9">
        <v>1024</v>
      </c>
      <c r="D19" s="9">
        <v>64</v>
      </c>
      <c r="E19" s="9">
        <v>256</v>
      </c>
      <c r="F19" s="11">
        <v>0.0243084513416642</v>
      </c>
      <c r="G19" s="11">
        <v>12.084718692777</v>
      </c>
      <c r="H19" s="11">
        <v>110.929433735259</v>
      </c>
      <c r="I19" s="11">
        <v>274071.01269531</v>
      </c>
      <c r="J19" s="11">
        <v>5168.01465452411</v>
      </c>
      <c r="K19" s="35">
        <f t="shared" si="0"/>
        <v>0.193497903324363</v>
      </c>
    </row>
    <row r="20" spans="1:11">
      <c r="A20" s="9" t="s">
        <v>29</v>
      </c>
      <c r="B20" s="9">
        <v>8192</v>
      </c>
      <c r="C20" s="9">
        <v>1024</v>
      </c>
      <c r="D20" s="9">
        <v>128</v>
      </c>
      <c r="E20" s="9">
        <v>512</v>
      </c>
      <c r="F20" s="11">
        <v>0.0252742340162917</v>
      </c>
      <c r="G20" s="11">
        <v>12.9798494432535</v>
      </c>
      <c r="H20" s="11">
        <v>117.708821282281</v>
      </c>
      <c r="I20" s="11">
        <v>525547.662642076</v>
      </c>
      <c r="J20" s="11">
        <v>9081.28975170558</v>
      </c>
      <c r="K20" s="35">
        <f t="shared" si="0"/>
        <v>0.110116517294494</v>
      </c>
    </row>
    <row r="21" spans="1:11">
      <c r="A21" s="9" t="s">
        <v>30</v>
      </c>
      <c r="B21" s="9">
        <v>8192</v>
      </c>
      <c r="C21" s="9">
        <v>1024</v>
      </c>
      <c r="D21" s="9">
        <v>256</v>
      </c>
      <c r="E21" s="9">
        <v>1024</v>
      </c>
      <c r="F21" s="11">
        <v>0.0254772162442594</v>
      </c>
      <c r="G21" s="11">
        <v>13.1149941839882</v>
      </c>
      <c r="H21" s="11">
        <v>117.027204328983</v>
      </c>
      <c r="I21" s="11">
        <v>3758117.90075071</v>
      </c>
      <c r="J21" s="11">
        <v>13141.0631706675</v>
      </c>
      <c r="K21" s="35">
        <f t="shared" si="0"/>
        <v>0.0760973436481247</v>
      </c>
    </row>
    <row r="30" spans="1:11">
      <c r="A30" t="s">
        <v>230</v>
      </c>
    </row>
    <row r="31" spans="1:11">
      <c r="A31" t="s">
        <v>231</v>
      </c>
    </row>
    <row r="32" spans="1:11">
      <c r="A32" t="s">
        <v>212</v>
      </c>
    </row>
    <row r="33" spans="1:1">
      <c r="A33" t="s">
        <v>232</v>
      </c>
    </row>
    <row r="34" spans="1:1">
      <c r="A34" t="s">
        <v>233</v>
      </c>
    </row>
    <row r="35" spans="1:1">
      <c r="A35" t="s">
        <v>234</v>
      </c>
    </row>
    <row r="36" spans="1:1">
      <c r="A36" t="s">
        <v>235</v>
      </c>
    </row>
    <row r="37" spans="1:1">
      <c r="A37" t="s">
        <v>236</v>
      </c>
    </row>
    <row r="38" spans="1:1">
      <c r="A38" t="s">
        <v>219</v>
      </c>
    </row>
    <row r="40" spans="1:1">
      <c r="A40" t="s">
        <v>237</v>
      </c>
    </row>
    <row r="41" spans="1:1">
      <c r="A41" t="s">
        <v>238</v>
      </c>
    </row>
    <row r="42" spans="1:1">
      <c r="A42" t="s">
        <v>239</v>
      </c>
    </row>
    <row r="43" spans="1:1">
      <c r="A43" t="s">
        <v>240</v>
      </c>
    </row>
    <row r="44" spans="1:1">
      <c r="A44" t="s">
        <v>241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5"/>
  <sheetViews>
    <sheetView workbookViewId="0">
      <selection activeCell="H3" sqref="H3"/>
    </sheetView>
  </sheetViews>
  <sheetFormatPr defaultColWidth="9.23333333333333" defaultRowHeight="13.5"/>
  <cols>
    <col min="1" max="3" width="9.23333333333333" style="9"/>
    <col min="4" max="5" width="14.15" style="9"/>
    <col min="6" max="6" width="16.3833333333333" style="9"/>
    <col min="7" max="7" width="13" style="9"/>
    <col min="8" max="8" width="12.925" style="9"/>
    <col min="9" max="11" width="9.23333333333333" style="9"/>
    <col min="12" max="12" width="14.15" style="9"/>
    <col min="13" max="13" width="14.15" style="58"/>
    <col min="14" max="14" width="16.3833333333333" style="9"/>
    <col min="15" max="15" width="13" style="9"/>
    <col min="16" max="19" width="9.23333333333333" style="9"/>
    <col min="20" max="20" width="14.15" style="9"/>
    <col min="21" max="21" width="15.2333333333333" style="58"/>
    <col min="22" max="22" width="15.2333333333333" style="9"/>
    <col min="23" max="23" width="13" style="9"/>
    <col min="24" max="16384" width="9.23333333333333" style="9"/>
  </cols>
  <sheetData>
    <row r="1" s="9" customFormat="1" spans="1:23">
      <c r="D1" s="9" t="s">
        <v>242</v>
      </c>
      <c r="E1" s="9" t="s">
        <v>242</v>
      </c>
      <c r="F1" s="9" t="s">
        <v>242</v>
      </c>
      <c r="G1" s="9" t="s">
        <v>242</v>
      </c>
      <c r="L1" s="9" t="s">
        <v>243</v>
      </c>
      <c r="M1" s="9" t="s">
        <v>243</v>
      </c>
      <c r="N1" s="9" t="s">
        <v>243</v>
      </c>
      <c r="O1" s="9" t="s">
        <v>243</v>
      </c>
      <c r="Q1" s="9" t="s">
        <v>244</v>
      </c>
      <c r="R1" s="9" t="s">
        <v>244</v>
      </c>
      <c r="S1" s="9" t="s">
        <v>244</v>
      </c>
      <c r="T1" s="9" t="s">
        <v>244</v>
      </c>
      <c r="U1" s="9" t="s">
        <v>244</v>
      </c>
      <c r="V1" s="9" t="s">
        <v>244</v>
      </c>
      <c r="W1" s="9" t="s">
        <v>244</v>
      </c>
    </row>
    <row r="2" s="13" customFormat="1" ht="27" spans="1:23">
      <c r="A2" s="13" t="s">
        <v>1</v>
      </c>
      <c r="B2" s="13" t="s">
        <v>2</v>
      </c>
      <c r="C2" s="13" t="s">
        <v>3</v>
      </c>
      <c r="D2" s="13" t="s">
        <v>6</v>
      </c>
      <c r="E2" s="13" t="s">
        <v>7</v>
      </c>
      <c r="F2" s="13" t="s">
        <v>8</v>
      </c>
      <c r="G2" s="13" t="s">
        <v>9</v>
      </c>
      <c r="I2" s="13" t="s">
        <v>1</v>
      </c>
      <c r="J2" s="13" t="s">
        <v>2</v>
      </c>
      <c r="K2" s="13" t="s">
        <v>3</v>
      </c>
      <c r="L2" s="13" t="s">
        <v>6</v>
      </c>
      <c r="M2" s="13" t="s">
        <v>7</v>
      </c>
      <c r="N2" s="13" t="s">
        <v>8</v>
      </c>
      <c r="O2" s="13" t="s">
        <v>9</v>
      </c>
      <c r="Q2" s="13" t="s">
        <v>1</v>
      </c>
      <c r="R2" s="13" t="s">
        <v>2</v>
      </c>
      <c r="S2" s="13" t="s">
        <v>3</v>
      </c>
      <c r="T2" s="13" t="s">
        <v>6</v>
      </c>
      <c r="U2" s="13" t="s">
        <v>7</v>
      </c>
      <c r="V2" s="13" t="s">
        <v>8</v>
      </c>
      <c r="W2" s="13" t="s">
        <v>9</v>
      </c>
    </row>
    <row r="3" s="9" customFormat="1" spans="1:23">
      <c r="A3" s="9">
        <v>1024</v>
      </c>
      <c r="B3" s="9">
        <v>1024</v>
      </c>
      <c r="C3" s="9">
        <v>1</v>
      </c>
      <c r="D3" s="11">
        <v>64.7434976823152</v>
      </c>
      <c r="E3" s="11">
        <v>138.672201402844</v>
      </c>
      <c r="F3" s="11">
        <v>282.83288361039</v>
      </c>
      <c r="G3" s="11">
        <v>14.913467446914</v>
      </c>
      <c r="H3" s="59">
        <f t="shared" ref="H3:H11" si="0">M3/E3-1</f>
        <v>0.0258089511544064</v>
      </c>
      <c r="I3" s="9">
        <v>1024</v>
      </c>
      <c r="J3" s="9">
        <v>1024</v>
      </c>
      <c r="K3" s="9">
        <v>1</v>
      </c>
      <c r="L3" s="11">
        <v>66.4144594515634</v>
      </c>
      <c r="M3" s="60">
        <v>142.251185475324</v>
      </c>
      <c r="N3" s="11">
        <v>320.434919996187</v>
      </c>
      <c r="O3" s="11">
        <v>14.5778891876864</v>
      </c>
      <c r="Q3" s="9">
        <v>1024</v>
      </c>
      <c r="R3" s="9">
        <v>1024</v>
      </c>
      <c r="S3" s="9">
        <v>1</v>
      </c>
      <c r="T3" s="11">
        <v>39.3746247865497</v>
      </c>
      <c r="U3" s="60">
        <v>84.3353555804771</v>
      </c>
      <c r="V3" s="11">
        <v>5287.54422105383</v>
      </c>
      <c r="W3" s="11">
        <v>14.3077054084599</v>
      </c>
    </row>
    <row r="4" s="9" customFormat="1" spans="1:23">
      <c r="A4" s="9">
        <v>1024</v>
      </c>
      <c r="B4" s="9">
        <v>1024</v>
      </c>
      <c r="C4" s="9">
        <v>4</v>
      </c>
      <c r="D4" s="11">
        <v>214.3757861441</v>
      </c>
      <c r="E4" s="11">
        <v>421.054417126326</v>
      </c>
      <c r="F4" s="11">
        <v>310.809983192011</v>
      </c>
      <c r="G4" s="11">
        <v>17.7789508791755</v>
      </c>
      <c r="H4" s="59">
        <f t="shared" si="0"/>
        <v>0.101946720500093</v>
      </c>
      <c r="I4" s="9">
        <v>1024</v>
      </c>
      <c r="J4" s="9">
        <v>1024</v>
      </c>
      <c r="K4" s="9">
        <v>4</v>
      </c>
      <c r="L4" s="11">
        <v>236.23069449612</v>
      </c>
      <c r="M4" s="60">
        <v>463.979534104433</v>
      </c>
      <c r="N4" s="11">
        <v>276.746133244596</v>
      </c>
      <c r="O4" s="11">
        <v>16.1750951936784</v>
      </c>
      <c r="Q4" s="9">
        <v>1024</v>
      </c>
      <c r="R4" s="9">
        <v>1024</v>
      </c>
      <c r="S4" s="9">
        <v>4</v>
      </c>
      <c r="T4" s="11">
        <v>183.398837371275</v>
      </c>
      <c r="U4" s="60">
        <v>360.21274585135</v>
      </c>
      <c r="V4" s="11">
        <v>2861.09113865764</v>
      </c>
      <c r="W4" s="11">
        <v>15.368872457805</v>
      </c>
    </row>
    <row r="5" s="9" customFormat="1" spans="1:23">
      <c r="A5" s="9">
        <v>1024</v>
      </c>
      <c r="B5" s="9">
        <v>1024</v>
      </c>
      <c r="C5" s="9">
        <v>8</v>
      </c>
      <c r="D5" s="11">
        <v>343.923767142525</v>
      </c>
      <c r="E5" s="11">
        <v>701.309569256177</v>
      </c>
      <c r="F5" s="11">
        <v>327.238662709714</v>
      </c>
      <c r="G5" s="11">
        <v>22.3406654516966</v>
      </c>
      <c r="H5" s="59">
        <f t="shared" si="0"/>
        <v>0.17750177843108</v>
      </c>
      <c r="I5" s="9">
        <v>1024</v>
      </c>
      <c r="J5" s="9">
        <v>1024</v>
      </c>
      <c r="K5" s="9">
        <v>8</v>
      </c>
      <c r="L5" s="11">
        <v>404.970847455039</v>
      </c>
      <c r="M5" s="60">
        <v>825.793265029883</v>
      </c>
      <c r="N5" s="11">
        <v>282.580478932941</v>
      </c>
      <c r="O5" s="11">
        <v>18.6583640702802</v>
      </c>
      <c r="Q5" s="9">
        <v>1024</v>
      </c>
      <c r="R5" s="9">
        <v>1024</v>
      </c>
      <c r="S5" s="9">
        <v>8</v>
      </c>
      <c r="T5" s="11">
        <v>370.530308256612</v>
      </c>
      <c r="U5" s="60">
        <v>755.56409793603</v>
      </c>
      <c r="V5" s="11">
        <v>1329.75361784687</v>
      </c>
      <c r="W5" s="11">
        <v>18.1065814129991</v>
      </c>
    </row>
    <row r="6" s="9" customFormat="1" spans="1:23">
      <c r="A6" s="9">
        <v>1024</v>
      </c>
      <c r="B6" s="9">
        <v>1024</v>
      </c>
      <c r="C6" s="9">
        <v>16</v>
      </c>
      <c r="D6" s="11">
        <v>550.67403710074</v>
      </c>
      <c r="E6" s="11">
        <v>1076.05999247281</v>
      </c>
      <c r="F6" s="11">
        <v>338.099281921167</v>
      </c>
      <c r="G6" s="11">
        <v>27.8844377546794</v>
      </c>
      <c r="H6" s="59">
        <f t="shared" si="0"/>
        <v>0.246858311297594</v>
      </c>
      <c r="I6" s="9">
        <v>1024</v>
      </c>
      <c r="J6" s="9">
        <v>1024</v>
      </c>
      <c r="K6" s="9">
        <v>16</v>
      </c>
      <c r="L6" s="11">
        <v>686.612499974855</v>
      </c>
      <c r="M6" s="60">
        <v>1341.69434506955</v>
      </c>
      <c r="N6" s="11">
        <v>332.874491895199</v>
      </c>
      <c r="O6" s="11">
        <v>22.0002914927118</v>
      </c>
      <c r="Q6" s="9">
        <v>1024</v>
      </c>
      <c r="R6" s="9">
        <v>1024</v>
      </c>
      <c r="S6" s="9">
        <v>16</v>
      </c>
      <c r="T6" s="11">
        <v>717.819486247946</v>
      </c>
      <c r="U6" s="60">
        <v>1402.6752287715</v>
      </c>
      <c r="V6" s="11">
        <v>1243.0383776006</v>
      </c>
      <c r="W6" s="11">
        <v>19.0234370748603</v>
      </c>
    </row>
    <row r="7" s="9" customFormat="1" spans="1:23">
      <c r="A7" s="9">
        <v>1024</v>
      </c>
      <c r="B7" s="9">
        <v>1024</v>
      </c>
      <c r="C7" s="9">
        <v>32</v>
      </c>
      <c r="D7" s="11">
        <v>765.008488114208</v>
      </c>
      <c r="E7" s="11">
        <v>1540.92507900159</v>
      </c>
      <c r="F7" s="11">
        <v>390.991919981606</v>
      </c>
      <c r="G7" s="11">
        <v>40.7748569688237</v>
      </c>
      <c r="H7" s="59">
        <f t="shared" si="0"/>
        <v>0.382981554719392</v>
      </c>
      <c r="I7" s="9">
        <v>1024</v>
      </c>
      <c r="J7" s="9">
        <v>1024</v>
      </c>
      <c r="K7" s="9">
        <v>32</v>
      </c>
      <c r="L7" s="11">
        <v>1057.99262826571</v>
      </c>
      <c r="M7" s="60">
        <v>2131.07096146372</v>
      </c>
      <c r="N7" s="11">
        <v>346.898370231792</v>
      </c>
      <c r="O7" s="11">
        <v>28.6457773224655</v>
      </c>
      <c r="Q7" s="9">
        <v>1024</v>
      </c>
      <c r="R7" s="9">
        <v>1024</v>
      </c>
      <c r="S7" s="9">
        <v>32</v>
      </c>
      <c r="T7" s="11">
        <v>1230.72806945836</v>
      </c>
      <c r="U7" s="60">
        <v>2479.00484389982</v>
      </c>
      <c r="V7" s="11">
        <v>1162.13660429726</v>
      </c>
      <c r="W7" s="11">
        <v>23.1827457135041</v>
      </c>
    </row>
    <row r="8" s="9" customFormat="1" spans="1:23">
      <c r="A8" s="9">
        <v>1024</v>
      </c>
      <c r="B8" s="9">
        <v>1024</v>
      </c>
      <c r="C8" s="9">
        <v>64</v>
      </c>
      <c r="D8" s="11">
        <v>949.671213433412</v>
      </c>
      <c r="E8" s="11">
        <v>1889.8588303447</v>
      </c>
      <c r="F8" s="11">
        <v>547.203807322148</v>
      </c>
      <c r="G8" s="11">
        <v>66.0361390375316</v>
      </c>
      <c r="H8" s="59">
        <f t="shared" si="0"/>
        <v>0.53882653255375</v>
      </c>
      <c r="I8" s="9">
        <v>1024</v>
      </c>
      <c r="J8" s="9">
        <v>1024</v>
      </c>
      <c r="K8" s="9">
        <v>64</v>
      </c>
      <c r="L8" s="11">
        <v>1461.37926043384</v>
      </c>
      <c r="M8" s="60">
        <v>2908.16491091542</v>
      </c>
      <c r="N8" s="11">
        <v>403.395859056672</v>
      </c>
      <c r="O8" s="11">
        <v>41.6936118962106</v>
      </c>
      <c r="Q8" s="9">
        <v>1024</v>
      </c>
      <c r="R8" s="9">
        <v>1024</v>
      </c>
      <c r="S8" s="9">
        <v>64</v>
      </c>
      <c r="T8" s="11">
        <v>1938.86929101121</v>
      </c>
      <c r="U8" s="60">
        <v>3858.37666622991</v>
      </c>
      <c r="V8" s="11">
        <v>1232.37399360687</v>
      </c>
      <c r="W8" s="11">
        <v>31.8595040622505</v>
      </c>
    </row>
    <row r="9" s="9" customFormat="1" spans="1:23">
      <c r="A9" s="9">
        <v>1024</v>
      </c>
      <c r="B9" s="9">
        <v>1024</v>
      </c>
      <c r="C9" s="9">
        <v>128</v>
      </c>
      <c r="D9" s="11">
        <v>1048.14861785954</v>
      </c>
      <c r="E9" s="11">
        <v>2085.83022519334</v>
      </c>
      <c r="F9" s="11">
        <v>1147.23866535427</v>
      </c>
      <c r="G9" s="11">
        <v>122.398822198977</v>
      </c>
      <c r="H9" s="59">
        <f t="shared" si="0"/>
        <v>0.752876750645057</v>
      </c>
      <c r="I9" s="9">
        <v>1024</v>
      </c>
      <c r="J9" s="9">
        <v>1024</v>
      </c>
      <c r="K9" s="9">
        <v>128</v>
      </c>
      <c r="L9" s="11">
        <v>1837.27534346674</v>
      </c>
      <c r="M9" s="60">
        <v>3656.20330753415</v>
      </c>
      <c r="N9" s="11">
        <v>750.948436782664</v>
      </c>
      <c r="O9" s="11">
        <v>69.3057025537305</v>
      </c>
      <c r="Q9" s="9">
        <v>1024</v>
      </c>
      <c r="R9" s="9">
        <v>1024</v>
      </c>
      <c r="S9" s="9">
        <v>128</v>
      </c>
      <c r="T9" s="11">
        <v>2336.15164320317</v>
      </c>
      <c r="U9" s="60">
        <v>4648.97403383426</v>
      </c>
      <c r="V9" s="11">
        <v>3437.6683479536</v>
      </c>
      <c r="W9" s="11">
        <v>67.4664665942989</v>
      </c>
    </row>
    <row r="10" s="9" customFormat="1" spans="1:23">
      <c r="A10" s="9">
        <v>1024</v>
      </c>
      <c r="B10" s="9">
        <v>1024</v>
      </c>
      <c r="C10" s="9">
        <v>256</v>
      </c>
      <c r="D10" s="11">
        <v>1038.37018706606</v>
      </c>
      <c r="E10" s="11">
        <v>2093.08710281668</v>
      </c>
      <c r="F10" s="11">
        <v>58985.3491123969</v>
      </c>
      <c r="G10" s="11">
        <v>121.523930397332</v>
      </c>
      <c r="H10" s="59">
        <f t="shared" si="0"/>
        <v>0.996551147418612</v>
      </c>
      <c r="I10" s="9">
        <v>1024</v>
      </c>
      <c r="J10" s="9">
        <v>1024</v>
      </c>
      <c r="K10" s="9">
        <v>256</v>
      </c>
      <c r="L10" s="11">
        <v>2073.15918843202</v>
      </c>
      <c r="M10" s="60">
        <v>4178.95545677574</v>
      </c>
      <c r="N10" s="11">
        <v>1863.77777017389</v>
      </c>
      <c r="O10" s="11">
        <v>117.887332685981</v>
      </c>
      <c r="Q10" s="9">
        <v>1024</v>
      </c>
      <c r="R10" s="9">
        <v>1024</v>
      </c>
      <c r="S10" s="9">
        <v>256</v>
      </c>
      <c r="T10" s="11">
        <v>3170.48146522381</v>
      </c>
      <c r="U10" s="60">
        <v>6390.87480287713</v>
      </c>
      <c r="V10" s="11">
        <v>4359.44722235433</v>
      </c>
      <c r="W10" s="11">
        <v>75.0901630832623</v>
      </c>
    </row>
    <row r="11" s="9" customFormat="1" spans="1:23">
      <c r="A11" s="9">
        <v>1024</v>
      </c>
      <c r="B11" s="9">
        <v>1024</v>
      </c>
      <c r="C11" s="9">
        <v>512</v>
      </c>
      <c r="D11" s="11">
        <v>1036.93364776208</v>
      </c>
      <c r="E11" s="11">
        <v>2071.10417661156</v>
      </c>
      <c r="F11" s="11">
        <v>176999.084030304</v>
      </c>
      <c r="G11" s="11">
        <v>123.307514765123</v>
      </c>
      <c r="H11" s="59">
        <f t="shared" si="0"/>
        <v>1.04030705876738</v>
      </c>
      <c r="I11" s="9">
        <v>1024</v>
      </c>
      <c r="J11" s="9">
        <v>1024</v>
      </c>
      <c r="K11" s="9">
        <v>512</v>
      </c>
      <c r="L11" s="11">
        <v>2115.66304100238</v>
      </c>
      <c r="M11" s="60">
        <v>4225.68847098316</v>
      </c>
      <c r="N11" s="11">
        <v>58027.606643853</v>
      </c>
      <c r="O11" s="11">
        <v>119.561776520145</v>
      </c>
      <c r="Q11" s="9">
        <v>1024</v>
      </c>
      <c r="R11" s="9">
        <v>1024</v>
      </c>
      <c r="S11" s="9">
        <v>512</v>
      </c>
      <c r="T11" s="11">
        <v>3975.29063707295</v>
      </c>
      <c r="U11" s="60">
        <v>7939.98831020254</v>
      </c>
      <c r="V11" s="11">
        <v>3522.06312806794</v>
      </c>
      <c r="W11" s="11">
        <v>124.211712270234</v>
      </c>
    </row>
    <row r="12" s="57" customFormat="1" spans="1:23">
      <c r="A12" s="57">
        <v>1024</v>
      </c>
      <c r="B12" s="57">
        <v>4096</v>
      </c>
      <c r="C12" s="57">
        <v>8</v>
      </c>
      <c r="D12" s="10">
        <v>392.241474662316</v>
      </c>
      <c r="E12" s="10">
        <v>491.676245098769</v>
      </c>
      <c r="F12" s="10">
        <v>310.655145754572</v>
      </c>
      <c r="G12" s="10">
        <v>19.5876804619916</v>
      </c>
      <c r="I12" s="57">
        <v>1024</v>
      </c>
      <c r="J12" s="57">
        <v>4096</v>
      </c>
      <c r="K12" s="57">
        <v>8</v>
      </c>
      <c r="L12" s="10">
        <v>435.491464889509</v>
      </c>
      <c r="M12" s="10">
        <v>545.890279486061</v>
      </c>
      <c r="N12" s="10">
        <v>407.361052519409</v>
      </c>
      <c r="O12" s="10">
        <v>17.6821395985828</v>
      </c>
      <c r="Q12" s="57">
        <v>1024</v>
      </c>
      <c r="R12" s="57">
        <v>4096</v>
      </c>
      <c r="S12" s="57">
        <v>8</v>
      </c>
      <c r="T12" s="10">
        <v>483.364662701619</v>
      </c>
      <c r="U12" s="10">
        <v>605.899522928236</v>
      </c>
      <c r="V12" s="10">
        <v>282.799528380855</v>
      </c>
      <c r="W12" s="10">
        <v>15.8395388495134</v>
      </c>
    </row>
    <row r="13" s="9" customFormat="1" spans="1:23">
      <c r="A13" s="9">
        <v>1024</v>
      </c>
      <c r="B13" s="9">
        <v>4096</v>
      </c>
      <c r="C13" s="9">
        <v>16</v>
      </c>
      <c r="D13" s="11">
        <v>669.478339971369</v>
      </c>
      <c r="E13" s="11">
        <v>836.356899272112</v>
      </c>
      <c r="F13" s="11">
        <v>333.30181474681</v>
      </c>
      <c r="G13" s="11">
        <v>23.1987990449896</v>
      </c>
      <c r="I13" s="9">
        <v>1024</v>
      </c>
      <c r="J13" s="9">
        <v>4096</v>
      </c>
      <c r="K13" s="9">
        <v>16</v>
      </c>
      <c r="L13" s="11">
        <v>769.772895218779</v>
      </c>
      <c r="M13" s="60">
        <v>961.651532768674</v>
      </c>
      <c r="N13" s="11">
        <v>316.52010371501</v>
      </c>
      <c r="O13" s="11">
        <v>20.0661888615673</v>
      </c>
      <c r="Q13" s="9">
        <v>1024</v>
      </c>
      <c r="R13" s="9">
        <v>4096</v>
      </c>
      <c r="S13" s="9">
        <v>16</v>
      </c>
      <c r="T13" s="11">
        <v>876.023042566578</v>
      </c>
      <c r="U13" s="60">
        <v>1094.38628829013</v>
      </c>
      <c r="V13" s="11">
        <v>286.885917035979</v>
      </c>
      <c r="W13" s="11">
        <v>17.5873491292482</v>
      </c>
    </row>
    <row r="14" s="9" customFormat="1" spans="1:23">
      <c r="A14" s="9">
        <v>1024</v>
      </c>
      <c r="B14" s="9">
        <v>4096</v>
      </c>
      <c r="C14" s="9">
        <v>32</v>
      </c>
      <c r="D14" s="11">
        <v>1029.31158885205</v>
      </c>
      <c r="E14" s="11">
        <v>1283.26969754275</v>
      </c>
      <c r="F14" s="11">
        <v>361.721982839226</v>
      </c>
      <c r="G14" s="11">
        <v>30.1455361842039</v>
      </c>
      <c r="I14" s="9">
        <v>1024</v>
      </c>
      <c r="J14" s="9">
        <v>4096</v>
      </c>
      <c r="K14" s="9">
        <v>32</v>
      </c>
      <c r="L14" s="11">
        <v>1271.4016865472</v>
      </c>
      <c r="M14" s="60">
        <v>1585.08975845727</v>
      </c>
      <c r="N14" s="11">
        <v>330.982406842522</v>
      </c>
      <c r="O14" s="11">
        <v>24.1583159426409</v>
      </c>
      <c r="Q14" s="9">
        <v>1024</v>
      </c>
      <c r="R14" s="9">
        <v>4096</v>
      </c>
      <c r="S14" s="9">
        <v>32</v>
      </c>
      <c r="T14" s="11">
        <v>1529.66421446295</v>
      </c>
      <c r="U14" s="60">
        <v>1907.07241140174</v>
      </c>
      <c r="V14" s="11">
        <v>299.798779372067</v>
      </c>
      <c r="W14" s="11">
        <v>19.9963906458622</v>
      </c>
    </row>
    <row r="15" s="9" customFormat="1" spans="1:23">
      <c r="A15" s="9">
        <v>1024</v>
      </c>
      <c r="B15" s="9">
        <v>4096</v>
      </c>
      <c r="C15" s="9">
        <v>64</v>
      </c>
      <c r="D15" s="11">
        <v>1361.91030197571</v>
      </c>
      <c r="E15" s="11">
        <v>1690.2681880458</v>
      </c>
      <c r="F15" s="11">
        <v>499.775677601974</v>
      </c>
      <c r="G15" s="11">
        <v>45.5940195478278</v>
      </c>
      <c r="I15" s="9">
        <v>1024</v>
      </c>
      <c r="J15" s="9">
        <v>4096</v>
      </c>
      <c r="K15" s="9">
        <v>64</v>
      </c>
      <c r="L15" s="11">
        <v>1937.65912746915</v>
      </c>
      <c r="M15" s="60">
        <v>2404.8306101264</v>
      </c>
      <c r="N15" s="11">
        <v>455.019485410048</v>
      </c>
      <c r="O15" s="11">
        <v>31.7933397383957</v>
      </c>
      <c r="Q15" s="9">
        <v>1024</v>
      </c>
      <c r="R15" s="9">
        <v>4096</v>
      </c>
      <c r="S15" s="9">
        <v>64</v>
      </c>
      <c r="T15" s="11">
        <v>2543.34993408303</v>
      </c>
      <c r="U15" s="60">
        <v>3156.55405382608</v>
      </c>
      <c r="V15" s="11">
        <v>349.354943346952</v>
      </c>
      <c r="W15" s="11">
        <v>23.8760268555085</v>
      </c>
    </row>
    <row r="16" s="9" customFormat="1" spans="1:23">
      <c r="A16" s="9">
        <v>1024</v>
      </c>
      <c r="B16" s="9">
        <v>4096</v>
      </c>
      <c r="C16" s="9">
        <v>128</v>
      </c>
      <c r="D16" s="11">
        <v>1475.33046813952</v>
      </c>
      <c r="E16" s="11">
        <v>1831.0340655573</v>
      </c>
      <c r="F16" s="11">
        <v>1093.49348006549</v>
      </c>
      <c r="G16" s="11">
        <v>83.6930707344254</v>
      </c>
      <c r="I16" s="9">
        <v>1024</v>
      </c>
      <c r="J16" s="9">
        <v>4096</v>
      </c>
      <c r="K16" s="9">
        <v>128</v>
      </c>
      <c r="L16" s="11">
        <v>2567.13333999849</v>
      </c>
      <c r="M16" s="60">
        <v>3186.07166182417</v>
      </c>
      <c r="N16" s="11">
        <v>699.375459979137</v>
      </c>
      <c r="O16" s="11">
        <v>46.9842983229177</v>
      </c>
      <c r="Q16" s="9">
        <v>1024</v>
      </c>
      <c r="R16" s="9">
        <v>4096</v>
      </c>
      <c r="S16" s="9">
        <v>128</v>
      </c>
      <c r="T16" s="11">
        <v>3842.66283733547</v>
      </c>
      <c r="U16" s="60">
        <v>4769.13255000093</v>
      </c>
      <c r="V16" s="11">
        <v>847.695781042375</v>
      </c>
      <c r="W16" s="11">
        <v>30.6984512112537</v>
      </c>
    </row>
    <row r="17" s="9" customFormat="1" spans="1:23">
      <c r="A17" s="9">
        <v>1024</v>
      </c>
      <c r="B17" s="9">
        <v>4096</v>
      </c>
      <c r="C17" s="9">
        <v>256</v>
      </c>
      <c r="D17" s="11">
        <v>1487.05970493098</v>
      </c>
      <c r="E17" s="11">
        <v>1852.06331398558</v>
      </c>
      <c r="F17" s="11">
        <v>166275.146063759</v>
      </c>
      <c r="G17" s="11">
        <v>84.7287076461696</v>
      </c>
      <c r="I17" s="9">
        <v>1024</v>
      </c>
      <c r="J17" s="9">
        <v>4096</v>
      </c>
      <c r="K17" s="9">
        <v>256</v>
      </c>
      <c r="L17" s="11">
        <v>2927.47859929611</v>
      </c>
      <c r="M17" s="60">
        <v>3646.03767976206</v>
      </c>
      <c r="N17" s="11">
        <v>4149.43719869052</v>
      </c>
      <c r="O17" s="11">
        <v>82.6702037030368</v>
      </c>
      <c r="Q17" s="9">
        <v>1024</v>
      </c>
      <c r="R17" s="9">
        <v>4096</v>
      </c>
      <c r="S17" s="9">
        <v>256</v>
      </c>
      <c r="T17" s="11">
        <v>4998.59417851433</v>
      </c>
      <c r="U17" s="60">
        <v>6225.51526938047</v>
      </c>
      <c r="V17" s="11">
        <v>5767.01692393919</v>
      </c>
      <c r="W17" s="11">
        <v>44.2680616203863</v>
      </c>
    </row>
    <row r="18" s="9" customFormat="1" spans="1:23">
      <c r="A18" s="9">
        <v>1024</v>
      </c>
      <c r="B18" s="9">
        <v>4096</v>
      </c>
      <c r="C18" s="9">
        <v>516</v>
      </c>
      <c r="D18" s="11">
        <v>1488.04698842674</v>
      </c>
      <c r="E18" s="11">
        <v>1855.46696974201</v>
      </c>
      <c r="F18" s="11">
        <v>500318.412156509</v>
      </c>
      <c r="G18" s="11">
        <v>85.3429256909494</v>
      </c>
      <c r="I18" s="9">
        <v>1024</v>
      </c>
      <c r="J18" s="9">
        <v>4096</v>
      </c>
      <c r="K18" s="9">
        <v>516</v>
      </c>
      <c r="L18" s="11">
        <v>2989.88333463111</v>
      </c>
      <c r="M18" s="60">
        <v>3728.12808596551</v>
      </c>
      <c r="N18" s="11">
        <v>165313.644727129</v>
      </c>
      <c r="O18" s="11">
        <v>83.8154495905617</v>
      </c>
      <c r="Q18" s="9">
        <v>1024</v>
      </c>
      <c r="R18" s="9">
        <v>4096</v>
      </c>
      <c r="S18" s="9">
        <v>516</v>
      </c>
      <c r="T18" s="11">
        <v>5445.38016665807</v>
      </c>
      <c r="U18" s="60">
        <v>6789.92203573128</v>
      </c>
      <c r="V18" s="11">
        <v>14286.5525985479</v>
      </c>
      <c r="W18" s="11">
        <v>78.7373019098894</v>
      </c>
    </row>
    <row r="19" s="57" customFormat="1" spans="1:23">
      <c r="A19" s="57">
        <v>8192</v>
      </c>
      <c r="B19" s="57">
        <v>1024</v>
      </c>
      <c r="C19" s="57">
        <v>1</v>
      </c>
      <c r="D19" s="10">
        <v>60.6753094642828</v>
      </c>
      <c r="E19" s="10">
        <v>561.648140327835</v>
      </c>
      <c r="F19" s="10">
        <v>884.806932454618</v>
      </c>
      <c r="G19" s="10">
        <v>14.9237493344132</v>
      </c>
      <c r="I19" s="57">
        <v>8192</v>
      </c>
      <c r="J19" s="57">
        <v>1024</v>
      </c>
      <c r="K19" s="57">
        <v>1</v>
      </c>
      <c r="L19" s="10">
        <v>61.2328605696349</v>
      </c>
      <c r="M19" s="10">
        <v>566.809177728775</v>
      </c>
      <c r="N19" s="10">
        <v>915.79544377358</v>
      </c>
      <c r="O19" s="10">
        <v>14.7172867245102</v>
      </c>
      <c r="Q19" s="57">
        <v>8192</v>
      </c>
      <c r="R19" s="57">
        <v>1024</v>
      </c>
      <c r="S19" s="57">
        <v>1</v>
      </c>
      <c r="T19" s="10">
        <v>58.0454910196048</v>
      </c>
      <c r="U19" s="10">
        <v>537.304916504268</v>
      </c>
      <c r="V19" s="10">
        <v>1548.74288113787</v>
      </c>
      <c r="W19" s="10">
        <v>14.4060304514767</v>
      </c>
    </row>
    <row r="20" s="9" customFormat="1" spans="1:23">
      <c r="A20" s="9">
        <v>8192</v>
      </c>
      <c r="B20" s="9">
        <v>1024</v>
      </c>
      <c r="C20" s="9">
        <v>4</v>
      </c>
      <c r="D20" s="11">
        <v>177.193696369861</v>
      </c>
      <c r="E20" s="11">
        <v>1493.22280750827</v>
      </c>
      <c r="F20" s="11">
        <v>840.038115943316</v>
      </c>
      <c r="G20" s="11">
        <v>20.5636780733752</v>
      </c>
      <c r="I20" s="9">
        <v>8192</v>
      </c>
      <c r="J20" s="9">
        <v>1024</v>
      </c>
      <c r="K20" s="9">
        <v>4</v>
      </c>
      <c r="L20" s="11">
        <v>209.291895971933</v>
      </c>
      <c r="M20" s="60">
        <v>1763.71642385973</v>
      </c>
      <c r="N20" s="11">
        <v>786.343636116944</v>
      </c>
      <c r="O20" s="11">
        <v>17.1179512609358</v>
      </c>
      <c r="Q20" s="9">
        <v>8192</v>
      </c>
      <c r="R20" s="9">
        <v>1024</v>
      </c>
      <c r="S20" s="9">
        <v>4</v>
      </c>
      <c r="T20" s="11">
        <v>240.886601304267</v>
      </c>
      <c r="U20" s="60">
        <v>2029.96706124284</v>
      </c>
      <c r="V20" s="11">
        <v>840.880592234898</v>
      </c>
      <c r="W20" s="11">
        <v>14.9064334132484</v>
      </c>
    </row>
    <row r="21" s="9" customFormat="1" spans="1:23">
      <c r="A21" s="9">
        <v>8192</v>
      </c>
      <c r="B21" s="9">
        <v>1024</v>
      </c>
      <c r="C21" s="9">
        <v>8</v>
      </c>
      <c r="D21" s="11">
        <v>250.002674730384</v>
      </c>
      <c r="E21" s="11">
        <v>2312.46358045038</v>
      </c>
      <c r="F21" s="11">
        <v>954.194492119131</v>
      </c>
      <c r="G21" s="11">
        <v>31.2098556684641</v>
      </c>
      <c r="I21" s="9">
        <v>8192</v>
      </c>
      <c r="J21" s="9">
        <v>1024</v>
      </c>
      <c r="K21" s="9">
        <v>8</v>
      </c>
      <c r="L21" s="11">
        <v>329.059742736142</v>
      </c>
      <c r="M21" s="60">
        <v>3043.72211893467</v>
      </c>
      <c r="N21" s="11">
        <v>873.629397797631</v>
      </c>
      <c r="O21" s="11">
        <v>21.8254889572766</v>
      </c>
      <c r="Q21" s="9">
        <v>8192</v>
      </c>
      <c r="R21" s="9">
        <v>1024</v>
      </c>
      <c r="S21" s="9">
        <v>8</v>
      </c>
      <c r="T21" s="11">
        <v>393.502314511721</v>
      </c>
      <c r="U21" s="60">
        <v>3639.80014258901</v>
      </c>
      <c r="V21" s="11">
        <v>998.386740643763</v>
      </c>
      <c r="W21" s="11">
        <v>18.5513490928589</v>
      </c>
    </row>
    <row r="22" s="9" customFormat="1" spans="1:23">
      <c r="A22" s="9">
        <v>8192</v>
      </c>
      <c r="B22" s="9">
        <v>1024</v>
      </c>
      <c r="C22" s="9">
        <v>16</v>
      </c>
      <c r="D22" s="11">
        <v>346.56055715838</v>
      </c>
      <c r="E22" s="11">
        <v>3108.18669702509</v>
      </c>
      <c r="F22" s="11">
        <v>1205.61676555778</v>
      </c>
      <c r="G22" s="11">
        <v>43.3788886723697</v>
      </c>
      <c r="I22" s="9">
        <v>8192</v>
      </c>
      <c r="J22" s="9">
        <v>1024</v>
      </c>
      <c r="K22" s="9">
        <v>16</v>
      </c>
      <c r="L22" s="11">
        <v>494.723861919318</v>
      </c>
      <c r="M22" s="60">
        <v>4437.01423764668</v>
      </c>
      <c r="N22" s="11">
        <v>994.378057744664</v>
      </c>
      <c r="O22" s="11">
        <v>29.338516652041</v>
      </c>
      <c r="Q22" s="9">
        <v>8192</v>
      </c>
      <c r="R22" s="9">
        <v>1024</v>
      </c>
      <c r="S22" s="9">
        <v>16</v>
      </c>
      <c r="T22" s="11">
        <v>628.20226070676</v>
      </c>
      <c r="U22" s="60">
        <v>5634.13772698173</v>
      </c>
      <c r="V22" s="11">
        <v>1265.7858688361</v>
      </c>
      <c r="W22" s="11">
        <v>23.2655800622202</v>
      </c>
    </row>
    <row r="23" s="9" customFormat="1" spans="1:23">
      <c r="A23" s="9">
        <v>8192</v>
      </c>
      <c r="B23" s="9">
        <v>1024</v>
      </c>
      <c r="C23" s="9">
        <v>32</v>
      </c>
      <c r="D23" s="11">
        <v>424.806503205527</v>
      </c>
      <c r="E23" s="11">
        <v>3812.42217912958</v>
      </c>
      <c r="F23" s="11">
        <v>1709.51272545056</v>
      </c>
      <c r="G23" s="11">
        <v>72.93119634441</v>
      </c>
      <c r="I23" s="9">
        <v>8192</v>
      </c>
      <c r="J23" s="9">
        <v>1024</v>
      </c>
      <c r="K23" s="9">
        <v>32</v>
      </c>
      <c r="L23" s="11">
        <v>669.888207277347</v>
      </c>
      <c r="M23" s="60">
        <v>6011.90574930041</v>
      </c>
      <c r="N23" s="11">
        <v>1253.09976705489</v>
      </c>
      <c r="O23" s="11">
        <v>45.1298715478776</v>
      </c>
      <c r="Q23" s="9">
        <v>8192</v>
      </c>
      <c r="R23" s="9">
        <v>1024</v>
      </c>
      <c r="S23" s="9">
        <v>32</v>
      </c>
      <c r="T23" s="11">
        <v>988.188654007085</v>
      </c>
      <c r="U23" s="60">
        <v>8868.49027327179</v>
      </c>
      <c r="V23" s="11">
        <v>1175.66100353514</v>
      </c>
      <c r="W23" s="11">
        <v>31.0805482547034</v>
      </c>
    </row>
    <row r="24" s="9" customFormat="1" spans="1:23">
      <c r="A24" s="9">
        <v>8192</v>
      </c>
      <c r="B24" s="9">
        <v>1024</v>
      </c>
      <c r="C24" s="9">
        <v>64</v>
      </c>
      <c r="D24" s="11">
        <v>466.49970208608</v>
      </c>
      <c r="E24" s="11">
        <v>4281.69517371246</v>
      </c>
      <c r="F24" s="11">
        <v>3309.03106327132</v>
      </c>
      <c r="G24" s="11">
        <v>144.428910788428</v>
      </c>
      <c r="I24" s="9">
        <v>8192</v>
      </c>
      <c r="J24" s="9">
        <v>1024</v>
      </c>
      <c r="K24" s="9">
        <v>64</v>
      </c>
      <c r="L24" s="11">
        <v>808.763519526978</v>
      </c>
      <c r="M24" s="60">
        <v>7423.11054594069</v>
      </c>
      <c r="N24" s="11">
        <v>2047.61535945617</v>
      </c>
      <c r="O24" s="11">
        <v>79.748128967112</v>
      </c>
      <c r="Q24" s="9">
        <v>8192</v>
      </c>
      <c r="R24" s="9">
        <v>1024</v>
      </c>
      <c r="S24" s="9">
        <v>64</v>
      </c>
      <c r="T24" s="11">
        <v>1332.91457024404</v>
      </c>
      <c r="U24" s="60">
        <v>12233.9496828485</v>
      </c>
      <c r="V24" s="11">
        <v>1651.6254757018</v>
      </c>
      <c r="W24" s="11">
        <v>45.699855194814</v>
      </c>
    </row>
    <row r="25" s="9" customFormat="1" spans="1:23">
      <c r="A25" s="9">
        <v>8192</v>
      </c>
      <c r="B25" s="9">
        <v>1024</v>
      </c>
      <c r="C25" s="9">
        <v>128</v>
      </c>
      <c r="D25" s="11">
        <v>485.960691053183</v>
      </c>
      <c r="E25" s="11">
        <v>4444.67104039956</v>
      </c>
      <c r="F25" s="11">
        <v>6119.87364556116</v>
      </c>
      <c r="G25" s="11">
        <v>274.687023027214</v>
      </c>
      <c r="I25" s="9">
        <v>8192</v>
      </c>
      <c r="J25" s="9">
        <v>1024</v>
      </c>
      <c r="K25" s="9">
        <v>128</v>
      </c>
      <c r="L25" s="11">
        <v>920.594243430669</v>
      </c>
      <c r="M25" s="60">
        <v>8419.89619544565</v>
      </c>
      <c r="N25" s="11">
        <v>3158.88263320102</v>
      </c>
      <c r="O25" s="11">
        <v>146.154957699716</v>
      </c>
      <c r="Q25" s="9">
        <v>8192</v>
      </c>
      <c r="R25" s="9">
        <v>1024</v>
      </c>
      <c r="S25" s="9">
        <v>128</v>
      </c>
      <c r="T25" s="11">
        <v>1648.11402188815</v>
      </c>
      <c r="U25" s="60">
        <v>15073.9037111975</v>
      </c>
      <c r="V25" s="11">
        <v>2302.12921542424</v>
      </c>
      <c r="W25" s="11">
        <v>82.1039189181388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workbookViewId="0">
      <selection activeCell="K12" sqref="K12"/>
    </sheetView>
  </sheetViews>
  <sheetFormatPr defaultColWidth="9.23333333333333" defaultRowHeight="13.5"/>
  <sheetData>
    <row r="1" spans="1:14">
      <c r="A1" s="56"/>
      <c r="B1" s="56"/>
      <c r="C1" s="56"/>
      <c r="D1" s="56"/>
      <c r="E1" s="56" t="s">
        <v>245</v>
      </c>
      <c r="F1" s="56" t="s">
        <v>245</v>
      </c>
      <c r="G1" s="56" t="s">
        <v>245</v>
      </c>
      <c r="H1" s="56" t="s">
        <v>245</v>
      </c>
      <c r="I1" s="56" t="s">
        <v>245</v>
      </c>
      <c r="J1" s="56" t="s">
        <v>246</v>
      </c>
      <c r="K1" s="56" t="s">
        <v>246</v>
      </c>
      <c r="L1" s="56" t="s">
        <v>246</v>
      </c>
      <c r="M1" s="56" t="s">
        <v>246</v>
      </c>
      <c r="N1" s="56" t="s">
        <v>246</v>
      </c>
    </row>
    <row r="2" ht="54" spans="1:14">
      <c r="A2" s="13" t="s">
        <v>202</v>
      </c>
      <c r="B2" s="13" t="s">
        <v>203</v>
      </c>
      <c r="C2" s="13" t="s">
        <v>204</v>
      </c>
      <c r="D2" s="13" t="s">
        <v>12</v>
      </c>
      <c r="E2" s="13" t="s">
        <v>205</v>
      </c>
      <c r="F2" s="13" t="s">
        <v>206</v>
      </c>
      <c r="G2" s="13" t="s">
        <v>207</v>
      </c>
      <c r="H2" s="13" t="s">
        <v>208</v>
      </c>
      <c r="I2" s="13" t="s">
        <v>209</v>
      </c>
      <c r="J2" s="13" t="s">
        <v>247</v>
      </c>
      <c r="K2" s="13" t="s">
        <v>248</v>
      </c>
      <c r="L2" s="13" t="s">
        <v>249</v>
      </c>
      <c r="M2" s="13" t="s">
        <v>250</v>
      </c>
      <c r="N2" s="13" t="s">
        <v>251</v>
      </c>
    </row>
    <row r="3" spans="1:14">
      <c r="A3" s="9">
        <v>1024</v>
      </c>
      <c r="B3" s="9">
        <v>1024</v>
      </c>
      <c r="C3" s="9">
        <v>1</v>
      </c>
      <c r="D3" s="9">
        <v>50</v>
      </c>
      <c r="E3" s="11">
        <v>0.138656794028688</v>
      </c>
      <c r="F3" s="11">
        <v>65.4626455968246</v>
      </c>
      <c r="G3" s="11">
        <v>140.21252325769</v>
      </c>
      <c r="H3" s="11">
        <v>267.449748918879</v>
      </c>
      <c r="I3" s="11">
        <v>14.8511194959946</v>
      </c>
      <c r="J3" s="11">
        <v>0.0359331874357581</v>
      </c>
      <c r="K3" s="11">
        <v>36.7955839342163</v>
      </c>
      <c r="L3" s="11">
        <v>73.5911678684326</v>
      </c>
      <c r="M3" s="11">
        <v>609.191494509577</v>
      </c>
      <c r="N3" s="11">
        <v>26.6078653163071</v>
      </c>
    </row>
    <row r="4" spans="1:14">
      <c r="A4" s="9">
        <v>1024</v>
      </c>
      <c r="B4" s="9">
        <v>1024</v>
      </c>
      <c r="C4" s="9">
        <v>4</v>
      </c>
      <c r="D4" s="9">
        <v>100</v>
      </c>
      <c r="E4" s="11">
        <v>0.407007391399608</v>
      </c>
      <c r="F4" s="11">
        <v>213.45095634561</v>
      </c>
      <c r="G4" s="11">
        <v>419.237963511166</v>
      </c>
      <c r="H4" s="11">
        <v>281.335410632891</v>
      </c>
      <c r="I4" s="11">
        <v>17.924261215245</v>
      </c>
      <c r="J4" s="11">
        <v>0.116785892413941</v>
      </c>
      <c r="K4" s="11">
        <v>119.588753831875</v>
      </c>
      <c r="L4" s="11">
        <v>239.177507663751</v>
      </c>
      <c r="M4" s="11">
        <v>838.399762967601</v>
      </c>
      <c r="N4" s="11">
        <v>31.8618889771427</v>
      </c>
    </row>
    <row r="5" spans="1:14">
      <c r="A5" s="9">
        <v>1024</v>
      </c>
      <c r="B5" s="9">
        <v>1024</v>
      </c>
      <c r="C5" s="9">
        <v>8</v>
      </c>
      <c r="D5" s="9">
        <v>80</v>
      </c>
      <c r="E5" s="11">
        <v>0.716296591910143</v>
      </c>
      <c r="F5" s="11">
        <v>350.7435799362</v>
      </c>
      <c r="G5" s="11">
        <v>730.35391252638</v>
      </c>
      <c r="H5" s="11">
        <v>322.07038453489</v>
      </c>
      <c r="I5" s="11">
        <v>21.5395320085661</v>
      </c>
      <c r="J5" s="11">
        <v>0.20282269381679</v>
      </c>
      <c r="K5" s="11">
        <v>207.690438468392</v>
      </c>
      <c r="L5" s="11">
        <v>415.380876936785</v>
      </c>
      <c r="M5" s="11">
        <v>916.823688205331</v>
      </c>
      <c r="N5" s="11">
        <v>36.857507686046</v>
      </c>
    </row>
    <row r="6" spans="1:14">
      <c r="A6" s="9">
        <v>1024</v>
      </c>
      <c r="B6" s="9">
        <v>1024</v>
      </c>
      <c r="C6" s="9">
        <v>16</v>
      </c>
      <c r="D6" s="9">
        <v>160</v>
      </c>
      <c r="E6" s="11">
        <v>0.702640455534248</v>
      </c>
      <c r="F6" s="11">
        <v>352.967041334782</v>
      </c>
      <c r="G6" s="11">
        <v>711.181928571836</v>
      </c>
      <c r="H6" s="11">
        <v>2507.50489211495</v>
      </c>
      <c r="I6" s="11">
        <v>38.5660766838863</v>
      </c>
      <c r="J6" s="11">
        <v>0.33233717410277</v>
      </c>
      <c r="K6" s="11">
        <v>340.313266281237</v>
      </c>
      <c r="L6" s="11">
        <v>680.626532562474</v>
      </c>
      <c r="M6" s="11">
        <v>1216.70263706706</v>
      </c>
      <c r="N6" s="11">
        <v>45.1893825759839</v>
      </c>
    </row>
    <row r="7" spans="1:14">
      <c r="A7" s="9">
        <v>1024</v>
      </c>
      <c r="B7" s="9">
        <v>1024</v>
      </c>
      <c r="C7" s="9">
        <v>32</v>
      </c>
      <c r="D7" s="9">
        <v>320</v>
      </c>
      <c r="E7" s="11">
        <v>1.14172589406771</v>
      </c>
      <c r="F7" s="11">
        <v>609.613837457199</v>
      </c>
      <c r="G7" s="11">
        <v>1187.41633719093</v>
      </c>
      <c r="H7" s="11">
        <v>2914.48856485512</v>
      </c>
      <c r="I7" s="11">
        <v>48.6804195254762</v>
      </c>
      <c r="J7" s="11">
        <v>0.324312776177342</v>
      </c>
      <c r="K7" s="11">
        <v>332.096282805598</v>
      </c>
      <c r="L7" s="11">
        <v>664.192565611197</v>
      </c>
      <c r="M7" s="11">
        <v>48493.8173742853</v>
      </c>
      <c r="N7" s="11">
        <v>46.8344501110188</v>
      </c>
    </row>
    <row r="8" spans="1:14">
      <c r="A8" s="9">
        <v>1024</v>
      </c>
      <c r="B8" s="9">
        <v>16384</v>
      </c>
      <c r="C8" s="9">
        <v>1</v>
      </c>
      <c r="D8" s="9">
        <v>20</v>
      </c>
      <c r="E8" s="11">
        <v>0.0101670306661774</v>
      </c>
      <c r="F8" s="11">
        <v>67.8822136488667</v>
      </c>
      <c r="G8" s="11">
        <v>73.1289098241476</v>
      </c>
      <c r="H8" s="11">
        <v>267.587223398732</v>
      </c>
      <c r="I8" s="11">
        <v>14.657061785982</v>
      </c>
      <c r="J8" s="11">
        <v>0.00235188707718297</v>
      </c>
      <c r="K8" s="11">
        <v>38.5333178725659</v>
      </c>
      <c r="L8" s="11">
        <v>40.9416502396012</v>
      </c>
      <c r="M8" s="11">
        <v>600.32418584451</v>
      </c>
      <c r="N8" s="11">
        <v>25.9164781004964</v>
      </c>
    </row>
    <row r="9" spans="1:14">
      <c r="A9" s="9">
        <v>1024</v>
      </c>
      <c r="B9" s="9">
        <v>16384</v>
      </c>
      <c r="C9" s="9">
        <v>4</v>
      </c>
      <c r="D9" s="9">
        <v>50</v>
      </c>
      <c r="E9" s="11">
        <v>0.0268804950605712</v>
      </c>
      <c r="F9" s="11">
        <v>230.143272169994</v>
      </c>
      <c r="G9" s="11">
        <v>244.634547057147</v>
      </c>
      <c r="H9" s="11">
        <v>290.449143594596</v>
      </c>
      <c r="I9" s="11">
        <v>17.0169175173266</v>
      </c>
      <c r="J9" s="11">
        <v>0.00846616030303063</v>
      </c>
      <c r="K9" s="11">
        <v>138.709570404854</v>
      </c>
      <c r="L9" s="11">
        <v>147.378918555157</v>
      </c>
      <c r="M9" s="11">
        <v>876.670107580721</v>
      </c>
      <c r="N9" s="11">
        <v>27.7327158489981</v>
      </c>
    </row>
    <row r="10" spans="1:14">
      <c r="A10" s="9">
        <v>1024</v>
      </c>
      <c r="B10" s="9">
        <v>16384</v>
      </c>
      <c r="C10" s="9">
        <v>8</v>
      </c>
      <c r="D10" s="9">
        <v>100</v>
      </c>
      <c r="E10" s="11">
        <v>0.0477063154407907</v>
      </c>
      <c r="F10" s="11">
        <v>399.708318046974</v>
      </c>
      <c r="G10" s="11">
        <v>423.829108196992</v>
      </c>
      <c r="H10" s="11">
        <v>314.730126891518</v>
      </c>
      <c r="I10" s="11">
        <v>19.1136494821998</v>
      </c>
      <c r="J10" s="11">
        <v>0.0154705702379764</v>
      </c>
      <c r="K10" s="11">
        <v>253.469822779006</v>
      </c>
      <c r="L10" s="11">
        <v>269.311686702694</v>
      </c>
      <c r="M10" s="11">
        <v>915.209970641881</v>
      </c>
      <c r="N10" s="11">
        <v>30.5392377003904</v>
      </c>
    </row>
    <row r="11" spans="1:14">
      <c r="A11" s="9">
        <v>1024</v>
      </c>
      <c r="B11" s="9">
        <v>131072</v>
      </c>
      <c r="C11" s="9">
        <v>1</v>
      </c>
      <c r="D11" s="9">
        <v>5</v>
      </c>
      <c r="E11" s="11">
        <v>0.000899456076390017</v>
      </c>
      <c r="F11" s="11">
        <v>66.8643054803269</v>
      </c>
      <c r="G11" s="11">
        <v>67.2284053000496</v>
      </c>
      <c r="H11" s="11">
        <v>281.161212036386</v>
      </c>
      <c r="I11" s="11">
        <v>14.8708974347501</v>
      </c>
      <c r="J11" s="11">
        <v>0.000302322234774807</v>
      </c>
      <c r="K11" s="11">
        <v>39.6259799564035</v>
      </c>
      <c r="L11" s="11">
        <v>39.9355579248129</v>
      </c>
      <c r="M11" s="11">
        <v>612.14607656002</v>
      </c>
      <c r="N11" s="11">
        <v>25.2314857211011</v>
      </c>
    </row>
    <row r="12" spans="1:14">
      <c r="A12" s="9">
        <v>1024</v>
      </c>
      <c r="B12" s="9">
        <v>131072</v>
      </c>
      <c r="C12" s="9">
        <v>2</v>
      </c>
      <c r="D12" s="9">
        <v>5</v>
      </c>
      <c r="E12" s="11">
        <v>0.00139145106663333</v>
      </c>
      <c r="F12" s="11">
        <v>103.438524262028</v>
      </c>
      <c r="G12" s="11">
        <v>104.001783653802</v>
      </c>
      <c r="H12" s="11">
        <v>394.098353432491</v>
      </c>
      <c r="I12" s="11">
        <v>16.0850553946458</v>
      </c>
      <c r="J12" s="11">
        <v>0.000493369438818765</v>
      </c>
      <c r="K12" s="11">
        <v>64.6669190848532</v>
      </c>
      <c r="L12" s="11">
        <v>65.1721293902037</v>
      </c>
      <c r="M12" s="11">
        <v>736.882082931697</v>
      </c>
      <c r="N12" s="11">
        <v>25.9037207222656</v>
      </c>
    </row>
    <row r="13" spans="1:14">
      <c r="A13" s="9">
        <v>8192</v>
      </c>
      <c r="B13" s="9">
        <v>1024</v>
      </c>
      <c r="C13" s="9">
        <v>1</v>
      </c>
      <c r="D13" s="9">
        <v>30</v>
      </c>
      <c r="E13" s="11">
        <v>0.114456545154719</v>
      </c>
      <c r="F13" s="11">
        <v>62.2643605641674</v>
      </c>
      <c r="G13" s="11">
        <v>576.357378781106</v>
      </c>
      <c r="H13" s="11">
        <v>888.74406866574</v>
      </c>
      <c r="I13" s="11">
        <v>14.4859546678681</v>
      </c>
      <c r="J13" s="11">
        <v>0.0311286212493808</v>
      </c>
      <c r="K13" s="11">
        <v>31.8757081593659</v>
      </c>
      <c r="L13" s="11">
        <v>286.881373434293</v>
      </c>
      <c r="M13" s="11">
        <v>1770.90397455419</v>
      </c>
      <c r="N13" s="11">
        <v>29.6706759505903</v>
      </c>
    </row>
    <row r="14" spans="1:14">
      <c r="A14" s="9">
        <v>8192</v>
      </c>
      <c r="B14" s="9">
        <v>1024</v>
      </c>
      <c r="C14" s="9">
        <v>4</v>
      </c>
      <c r="D14" s="9">
        <v>100</v>
      </c>
      <c r="E14" s="11">
        <v>0.334252934371691</v>
      </c>
      <c r="F14" s="11">
        <v>175.29560890189</v>
      </c>
      <c r="G14" s="11">
        <v>1477.22750092634</v>
      </c>
      <c r="H14" s="11">
        <v>821.46595771308</v>
      </c>
      <c r="I14" s="11">
        <v>20.8917409033818</v>
      </c>
      <c r="J14" s="11">
        <v>0.10047201632335</v>
      </c>
      <c r="K14" s="11">
        <v>102.88334471511</v>
      </c>
      <c r="L14" s="11">
        <v>925.950102435995</v>
      </c>
      <c r="M14" s="11">
        <v>2069.12647840566</v>
      </c>
      <c r="N14" s="11">
        <v>35.9219944111926</v>
      </c>
    </row>
    <row r="15" spans="1:14">
      <c r="A15" s="9">
        <v>8192</v>
      </c>
      <c r="B15" s="9">
        <v>1024</v>
      </c>
      <c r="C15" s="9">
        <v>8</v>
      </c>
      <c r="D15" s="9">
        <v>200</v>
      </c>
      <c r="E15" s="11">
        <v>0.508641731919989</v>
      </c>
      <c r="F15" s="11">
        <v>252.095558382844</v>
      </c>
      <c r="G15" s="11">
        <v>2331.82224223131</v>
      </c>
      <c r="H15" s="11">
        <v>934.778272995026</v>
      </c>
      <c r="I15" s="11">
        <v>30.9302582726251</v>
      </c>
      <c r="J15" s="11">
        <v>0.163266602622517</v>
      </c>
      <c r="K15" s="11">
        <v>167.185001085457</v>
      </c>
      <c r="L15" s="11">
        <v>1504.66500976912</v>
      </c>
      <c r="M15" s="11">
        <v>2412.15867040213</v>
      </c>
      <c r="N15" s="11">
        <v>45.0928808643345</v>
      </c>
    </row>
    <row r="16" spans="1:14">
      <c r="A16" s="9">
        <v>8192</v>
      </c>
      <c r="B16" s="9">
        <v>1024</v>
      </c>
      <c r="C16" s="9">
        <v>16</v>
      </c>
      <c r="D16" s="9">
        <v>300</v>
      </c>
      <c r="E16" s="11">
        <v>0.670147673719037</v>
      </c>
      <c r="F16" s="11">
        <v>348.780590612652</v>
      </c>
      <c r="G16" s="11">
        <v>3128.09744078109</v>
      </c>
      <c r="H16" s="11">
        <v>1172.01520689646</v>
      </c>
      <c r="I16" s="11">
        <v>43.6627669704923</v>
      </c>
      <c r="J16" s="11">
        <v>0.237821077713587</v>
      </c>
      <c r="K16" s="11">
        <v>243.528783578713</v>
      </c>
      <c r="L16" s="11">
        <v>2191.75905220842</v>
      </c>
      <c r="M16" s="11">
        <v>2694.36079980184</v>
      </c>
      <c r="N16" s="11">
        <v>62.2057506724471</v>
      </c>
    </row>
    <row r="17" spans="1:14">
      <c r="A17" s="9">
        <v>8192</v>
      </c>
      <c r="B17" s="9">
        <v>1024</v>
      </c>
      <c r="C17" s="9">
        <v>32</v>
      </c>
      <c r="D17" s="9">
        <v>500</v>
      </c>
      <c r="E17" s="11">
        <v>0.824430710774651</v>
      </c>
      <c r="F17" s="11">
        <v>428.166440779393</v>
      </c>
      <c r="G17" s="11">
        <v>3842.5759089582</v>
      </c>
      <c r="H17" s="11">
        <v>1753.77660470525</v>
      </c>
      <c r="I17" s="11">
        <v>72.69541364362</v>
      </c>
      <c r="J17" s="11">
        <v>0.235343446636505</v>
      </c>
      <c r="K17" s="11">
        <v>240.991689355781</v>
      </c>
      <c r="L17" s="11">
        <v>2168.92520420203</v>
      </c>
      <c r="M17" s="11">
        <v>67989.4344948288</v>
      </c>
      <c r="N17" s="11">
        <v>63.7080187661498</v>
      </c>
    </row>
    <row r="18" spans="1:14">
      <c r="A18" s="9">
        <v>8192</v>
      </c>
      <c r="B18" s="9">
        <v>16384</v>
      </c>
      <c r="C18" s="9">
        <v>1</v>
      </c>
      <c r="D18" s="9">
        <v>20</v>
      </c>
      <c r="E18" s="11">
        <v>0.00995617042752379</v>
      </c>
      <c r="F18" s="11">
        <v>66.4743630934481</v>
      </c>
      <c r="G18" s="11">
        <v>110.863451136041</v>
      </c>
      <c r="H18" s="11">
        <v>872.269659448647</v>
      </c>
      <c r="I18" s="11">
        <v>15.0655308766658</v>
      </c>
      <c r="J18" s="11">
        <v>0.00235936614851027</v>
      </c>
      <c r="K18" s="11">
        <v>38.6558549771923</v>
      </c>
      <c r="L18" s="11">
        <v>57.9837824657885</v>
      </c>
      <c r="M18" s="11">
        <v>1774.71841494552</v>
      </c>
      <c r="N18" s="11">
        <v>25.7625065631366</v>
      </c>
    </row>
    <row r="19" spans="1:14">
      <c r="A19" s="9">
        <v>8192</v>
      </c>
      <c r="B19" s="9">
        <v>16384</v>
      </c>
      <c r="C19" s="9">
        <v>4</v>
      </c>
      <c r="D19" s="9">
        <v>50</v>
      </c>
      <c r="E19" s="11">
        <v>0.0260744539938256</v>
      </c>
      <c r="F19" s="11">
        <v>223.242174248017</v>
      </c>
      <c r="G19" s="11">
        <v>331.283760327753</v>
      </c>
      <c r="H19" s="11">
        <v>915.055574297439</v>
      </c>
      <c r="I19" s="11">
        <v>17.4096328355509</v>
      </c>
      <c r="J19" s="11">
        <v>0.00831072315272225</v>
      </c>
      <c r="K19" s="11">
        <v>136.162888134201</v>
      </c>
      <c r="L19" s="11">
        <v>204.244332201302</v>
      </c>
      <c r="M19" s="11">
        <v>2100.3712824732</v>
      </c>
      <c r="N19" s="11">
        <v>28.4780645706084</v>
      </c>
    </row>
    <row r="20" spans="1:14">
      <c r="A20" s="9">
        <v>8192</v>
      </c>
      <c r="B20" s="9">
        <v>16384</v>
      </c>
      <c r="C20" s="9">
        <v>8</v>
      </c>
      <c r="D20" s="9">
        <v>50</v>
      </c>
      <c r="E20" s="11">
        <v>0.0442239620469508</v>
      </c>
      <c r="F20" s="11">
        <v>378.63318033662</v>
      </c>
      <c r="G20" s="11">
        <v>561.878704995125</v>
      </c>
      <c r="H20" s="11">
        <v>1247.85646873293</v>
      </c>
      <c r="I20" s="11">
        <v>19.6661482798064</v>
      </c>
      <c r="J20" s="11">
        <v>0.0139426696617743</v>
      </c>
      <c r="K20" s="11">
        <v>228.436699738511</v>
      </c>
      <c r="L20" s="11">
        <v>342.655049607767</v>
      </c>
      <c r="M20" s="11">
        <v>2789.84780743718</v>
      </c>
      <c r="N20" s="11">
        <v>32.5099126381163</v>
      </c>
    </row>
    <row r="21" spans="1:14">
      <c r="A21" s="9">
        <v>32768</v>
      </c>
      <c r="B21" s="9">
        <v>1024</v>
      </c>
      <c r="C21" s="9">
        <v>1</v>
      </c>
      <c r="D21" s="9">
        <v>20</v>
      </c>
      <c r="E21" s="11">
        <v>0.0825970249837699</v>
      </c>
      <c r="F21" s="11">
        <v>48.2284028880232</v>
      </c>
      <c r="G21" s="11">
        <v>1397.60361049412</v>
      </c>
      <c r="H21" s="11">
        <v>3331.04369965731</v>
      </c>
      <c r="I21" s="11">
        <v>15.0291068621702</v>
      </c>
      <c r="J21" s="11">
        <v>0.0234410528767561</v>
      </c>
      <c r="K21" s="11">
        <v>24.0036381457982</v>
      </c>
      <c r="L21" s="11">
        <v>792.120058811343</v>
      </c>
      <c r="M21" s="11">
        <v>7698.59267505817</v>
      </c>
      <c r="N21" s="11">
        <v>34.174775236349</v>
      </c>
    </row>
    <row r="22" spans="1:14">
      <c r="A22" s="9">
        <v>32768</v>
      </c>
      <c r="B22" s="9">
        <v>1024</v>
      </c>
      <c r="C22" s="9">
        <v>4</v>
      </c>
      <c r="D22" s="9">
        <v>50</v>
      </c>
      <c r="E22" s="11">
        <v>0.187550681521276</v>
      </c>
      <c r="F22" s="11">
        <v>88.5464277598249</v>
      </c>
      <c r="G22" s="11">
        <v>3170.30045523119</v>
      </c>
      <c r="H22" s="11">
        <v>3465.93258427688</v>
      </c>
      <c r="I22" s="11">
        <v>37.1848656409845</v>
      </c>
      <c r="J22" s="11">
        <v>0.0582399986843004</v>
      </c>
      <c r="K22" s="11">
        <v>59.6377586527237</v>
      </c>
      <c r="L22" s="11">
        <v>1968.04603553988</v>
      </c>
      <c r="M22" s="11">
        <v>9822.3808937706</v>
      </c>
      <c r="N22" s="11">
        <v>55.4712347337613</v>
      </c>
    </row>
    <row r="23" spans="1:14">
      <c r="A23" s="9">
        <v>32768</v>
      </c>
      <c r="B23" s="9">
        <v>1024</v>
      </c>
      <c r="C23" s="9">
        <v>8</v>
      </c>
      <c r="D23" s="9">
        <v>100</v>
      </c>
      <c r="E23" s="11">
        <v>0.218479865600087</v>
      </c>
      <c r="F23" s="11">
        <v>114.579580715309</v>
      </c>
      <c r="G23" s="11">
        <v>3632.35229912484</v>
      </c>
      <c r="H23" s="11">
        <v>4043.58599194092</v>
      </c>
      <c r="I23" s="11">
        <v>63.1203819062962</v>
      </c>
      <c r="J23" s="11">
        <v>0.0783197433270773</v>
      </c>
      <c r="K23" s="11">
        <v>80.1994171669272</v>
      </c>
      <c r="L23" s="11">
        <v>2646.58076650859</v>
      </c>
      <c r="M23" s="11">
        <v>11404.4554854556</v>
      </c>
      <c r="N23" s="11">
        <v>87.5581537956191</v>
      </c>
    </row>
    <row r="24" spans="1:14">
      <c r="A24" s="9">
        <v>32768</v>
      </c>
      <c r="B24" s="9">
        <v>1024</v>
      </c>
      <c r="C24" s="9">
        <v>16</v>
      </c>
      <c r="D24" s="9">
        <v>200</v>
      </c>
      <c r="E24" s="11">
        <v>0.261410800822363</v>
      </c>
      <c r="F24" s="11">
        <v>129.561728157583</v>
      </c>
      <c r="G24" s="11">
        <v>4207.18986827125</v>
      </c>
      <c r="H24" s="11">
        <v>4728.07577930623</v>
      </c>
      <c r="I24" s="11">
        <v>121.95532913717</v>
      </c>
      <c r="J24" s="11">
        <v>0.0945586590701902</v>
      </c>
      <c r="K24" s="11">
        <v>96.8280668878748</v>
      </c>
      <c r="L24" s="11">
        <v>3195.32620729986</v>
      </c>
      <c r="M24" s="11">
        <v>13989.1051058936</v>
      </c>
      <c r="N24" s="11">
        <v>149.753955657869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R21"/>
  <sheetViews>
    <sheetView topLeftCell="K1" workbookViewId="0">
      <selection activeCell="AK7" sqref="AK7"/>
    </sheetView>
  </sheetViews>
  <sheetFormatPr defaultColWidth="9.23333333333333" defaultRowHeight="13.5"/>
  <cols>
    <col min="2" max="2" width="15.225" customWidth="1"/>
    <col min="3" max="3" width="16.1833333333333" customWidth="1"/>
    <col min="4" max="4" width="13.4583333333333" customWidth="1"/>
    <col min="5" max="5" width="12.8083333333333" customWidth="1"/>
    <col min="6" max="6" width="12.6416666666667" customWidth="1"/>
    <col min="7" max="7" width="15.225" customWidth="1"/>
    <col min="8" max="8" width="14.075"/>
    <col min="9" max="9" width="15.0666666666667" customWidth="1"/>
    <col min="10" max="10" width="11.3666666666667" customWidth="1"/>
    <col min="11" max="11" width="11.5416666666667" style="23" customWidth="1"/>
    <col min="12" max="12" width="15.0583333333333" customWidth="1"/>
    <col min="14" max="14" width="14.075"/>
    <col min="18" max="18" width="12.925"/>
    <col min="24" max="24" width="9.69166666666667"/>
  </cols>
  <sheetData>
    <row r="1" ht="14.25"/>
    <row r="2" ht="33.75" spans="2:44">
      <c r="B2" s="36" t="s">
        <v>252</v>
      </c>
      <c r="C2" s="23"/>
      <c r="D2" s="37" t="s">
        <v>253</v>
      </c>
      <c r="E2" s="38" t="s">
        <v>254</v>
      </c>
      <c r="F2" s="39"/>
      <c r="G2" s="39"/>
      <c r="H2" s="40"/>
      <c r="I2" s="38" t="s">
        <v>255</v>
      </c>
      <c r="J2" s="39"/>
      <c r="K2" s="39"/>
      <c r="L2" s="40"/>
      <c r="M2" s="38" t="s">
        <v>256</v>
      </c>
      <c r="N2" s="39"/>
      <c r="O2" s="39"/>
      <c r="P2" s="40"/>
      <c r="Q2" s="38" t="s">
        <v>257</v>
      </c>
      <c r="R2" s="39"/>
      <c r="S2" s="39"/>
      <c r="T2" s="40"/>
      <c r="U2" s="38" t="s">
        <v>258</v>
      </c>
      <c r="V2" s="39"/>
      <c r="W2" s="39"/>
      <c r="X2" s="40"/>
      <c r="Y2" s="38" t="s">
        <v>259</v>
      </c>
      <c r="Z2" s="39"/>
      <c r="AA2" s="39"/>
      <c r="AB2" s="40"/>
      <c r="AC2" s="38" t="s">
        <v>260</v>
      </c>
      <c r="AD2" s="39"/>
      <c r="AE2" s="39"/>
      <c r="AF2" s="40"/>
      <c r="AG2" s="38" t="s">
        <v>261</v>
      </c>
      <c r="AH2" s="39"/>
      <c r="AI2" s="39"/>
      <c r="AJ2" s="40"/>
      <c r="AK2" s="38" t="s">
        <v>262</v>
      </c>
      <c r="AL2" s="39"/>
      <c r="AM2" s="39"/>
      <c r="AN2" s="40"/>
      <c r="AO2" s="38" t="s">
        <v>263</v>
      </c>
      <c r="AP2" s="39"/>
      <c r="AQ2" s="39"/>
      <c r="AR2" s="40"/>
    </row>
    <row r="3" ht="33.75" spans="2:44">
      <c r="B3" s="41" t="s">
        <v>264</v>
      </c>
      <c r="C3" s="41" t="s">
        <v>265</v>
      </c>
      <c r="D3" s="42" t="s">
        <v>266</v>
      </c>
      <c r="E3" s="42" t="s">
        <v>266</v>
      </c>
      <c r="F3" s="42" t="s">
        <v>267</v>
      </c>
      <c r="G3" s="42" t="s">
        <v>268</v>
      </c>
      <c r="H3" s="42" t="s">
        <v>269</v>
      </c>
      <c r="I3" s="42" t="s">
        <v>266</v>
      </c>
      <c r="J3" s="42" t="s">
        <v>267</v>
      </c>
      <c r="K3" s="42" t="s">
        <v>268</v>
      </c>
      <c r="L3" s="42" t="s">
        <v>269</v>
      </c>
      <c r="M3" s="42" t="s">
        <v>266</v>
      </c>
      <c r="N3" s="42" t="s">
        <v>267</v>
      </c>
      <c r="O3" s="42" t="s">
        <v>268</v>
      </c>
      <c r="P3" s="42" t="s">
        <v>269</v>
      </c>
      <c r="Q3" s="42" t="s">
        <v>266</v>
      </c>
      <c r="R3" s="42" t="s">
        <v>267</v>
      </c>
      <c r="S3" s="42" t="s">
        <v>268</v>
      </c>
      <c r="T3" s="42" t="s">
        <v>269</v>
      </c>
      <c r="U3" s="42" t="s">
        <v>266</v>
      </c>
      <c r="V3" s="42" t="s">
        <v>267</v>
      </c>
      <c r="W3" s="42" t="s">
        <v>268</v>
      </c>
      <c r="X3" s="42" t="s">
        <v>269</v>
      </c>
      <c r="Y3" s="42" t="s">
        <v>266</v>
      </c>
      <c r="Z3" s="42" t="s">
        <v>267</v>
      </c>
      <c r="AA3" s="42" t="s">
        <v>268</v>
      </c>
      <c r="AB3" s="42" t="s">
        <v>269</v>
      </c>
      <c r="AC3" s="42" t="s">
        <v>266</v>
      </c>
      <c r="AD3" s="42" t="s">
        <v>267</v>
      </c>
      <c r="AE3" s="42" t="s">
        <v>268</v>
      </c>
      <c r="AF3" s="42" t="s">
        <v>269</v>
      </c>
      <c r="AG3" s="42" t="s">
        <v>266</v>
      </c>
      <c r="AH3" s="42" t="s">
        <v>267</v>
      </c>
      <c r="AI3" s="42" t="s">
        <v>268</v>
      </c>
      <c r="AJ3" s="42" t="s">
        <v>269</v>
      </c>
      <c r="AK3" s="42" t="s">
        <v>266</v>
      </c>
      <c r="AL3" s="42" t="s">
        <v>267</v>
      </c>
      <c r="AM3" s="42" t="s">
        <v>268</v>
      </c>
      <c r="AN3" s="42" t="s">
        <v>269</v>
      </c>
      <c r="AO3" s="42" t="s">
        <v>266</v>
      </c>
      <c r="AP3" s="42" t="s">
        <v>267</v>
      </c>
      <c r="AQ3" s="42" t="s">
        <v>268</v>
      </c>
      <c r="AR3" s="42" t="s">
        <v>269</v>
      </c>
    </row>
    <row r="4" ht="17.25" spans="2:44">
      <c r="B4" s="43" t="s">
        <v>270</v>
      </c>
      <c r="C4" s="43" t="s">
        <v>271</v>
      </c>
      <c r="D4" s="44">
        <v>86.4</v>
      </c>
      <c r="E4" s="45">
        <v>82.92</v>
      </c>
      <c r="F4" s="46">
        <f>E4/D4-1</f>
        <v>-0.0402777777777779</v>
      </c>
      <c r="G4" s="47">
        <v>62.85</v>
      </c>
      <c r="H4" s="48">
        <f>G4/8</f>
        <v>7.85625</v>
      </c>
      <c r="I4" s="47">
        <v>81.93</v>
      </c>
      <c r="J4" s="46">
        <f>I4/D4-1</f>
        <v>-0.0517361111111111</v>
      </c>
      <c r="K4" s="47">
        <v>45.8</v>
      </c>
      <c r="L4" s="48">
        <f t="shared" ref="L4:L7" si="0">K4/8</f>
        <v>5.725</v>
      </c>
      <c r="M4" s="23">
        <v>81.57</v>
      </c>
      <c r="N4" s="49">
        <f>M4/D4-1</f>
        <v>-0.055902777777778</v>
      </c>
      <c r="O4" s="35">
        <v>50.78</v>
      </c>
      <c r="P4" s="35">
        <f>O4/8</f>
        <v>6.3475</v>
      </c>
      <c r="Q4" s="23"/>
      <c r="R4" s="23"/>
      <c r="S4" s="23"/>
      <c r="T4" s="23"/>
      <c r="U4" s="23">
        <v>81.66</v>
      </c>
      <c r="V4" s="23"/>
      <c r="W4" s="35">
        <v>47.21</v>
      </c>
      <c r="X4" s="35">
        <f>W4/8</f>
        <v>5.90125</v>
      </c>
      <c r="Y4">
        <v>82.06</v>
      </c>
      <c r="AA4">
        <v>47.85</v>
      </c>
      <c r="AB4" s="50">
        <f t="shared" ref="AB4:AB7" si="1">AA4/8</f>
        <v>5.98125</v>
      </c>
      <c r="AC4" s="23">
        <v>83.01</v>
      </c>
      <c r="AD4" s="23"/>
      <c r="AE4" s="35">
        <v>41.27</v>
      </c>
      <c r="AF4" s="35">
        <f t="shared" ref="AF4:AF7" si="2">AE4/8</f>
        <v>5.15875</v>
      </c>
      <c r="AK4" s="23">
        <v>85.8</v>
      </c>
      <c r="AL4" s="51"/>
      <c r="AM4">
        <v>40.3</v>
      </c>
      <c r="AN4">
        <v>5.04</v>
      </c>
      <c r="AO4">
        <v>82.01</v>
      </c>
      <c r="AP4" s="51">
        <v>-0.0508</v>
      </c>
      <c r="AQ4">
        <v>40.87</v>
      </c>
      <c r="AR4">
        <v>5.11</v>
      </c>
    </row>
    <row r="5" ht="33.75" spans="2:44">
      <c r="B5" s="43" t="s">
        <v>272</v>
      </c>
      <c r="C5" s="43" t="s">
        <v>273</v>
      </c>
      <c r="D5" s="44">
        <v>73.2</v>
      </c>
      <c r="E5" s="45">
        <v>76.46</v>
      </c>
      <c r="F5" s="46">
        <f>E5/D5-1</f>
        <v>0.0445355191256829</v>
      </c>
      <c r="G5" s="47">
        <v>40.57</v>
      </c>
      <c r="H5" s="48">
        <f>G5/8</f>
        <v>5.07125</v>
      </c>
      <c r="I5" s="47">
        <v>72.67</v>
      </c>
      <c r="J5" s="46">
        <f>I5/D5-1</f>
        <v>-0.00724043715847</v>
      </c>
      <c r="K5" s="47">
        <v>23.98</v>
      </c>
      <c r="L5" s="48">
        <f t="shared" si="0"/>
        <v>2.9975</v>
      </c>
      <c r="M5" s="23">
        <v>76.17</v>
      </c>
      <c r="N5" s="52">
        <f>M5/D5-1</f>
        <v>0.0405737704918032</v>
      </c>
      <c r="O5" s="23">
        <v>49.33</v>
      </c>
      <c r="P5" s="35">
        <f>O5/8</f>
        <v>6.16625</v>
      </c>
      <c r="Q5" s="23">
        <v>75.47</v>
      </c>
      <c r="R5" s="49">
        <f>Q5/D5-1</f>
        <v>0.0310109289617486</v>
      </c>
      <c r="S5" s="23">
        <f>51.2</f>
        <v>51.2</v>
      </c>
      <c r="T5" s="23">
        <f>S5/8</f>
        <v>6.4</v>
      </c>
      <c r="U5" s="23">
        <v>76.8</v>
      </c>
      <c r="V5" s="23"/>
      <c r="W5" s="23">
        <v>51.27</v>
      </c>
      <c r="X5" s="35">
        <f>W5/8</f>
        <v>6.40875</v>
      </c>
      <c r="Y5">
        <v>75.9</v>
      </c>
      <c r="AA5" s="23">
        <v>33.51</v>
      </c>
      <c r="AB5" s="53">
        <f t="shared" si="1"/>
        <v>4.18875</v>
      </c>
      <c r="AC5" s="23">
        <v>76.53</v>
      </c>
      <c r="AD5" s="23"/>
      <c r="AE5" s="23">
        <v>27</v>
      </c>
      <c r="AF5" s="35">
        <f t="shared" si="2"/>
        <v>3.375</v>
      </c>
      <c r="AG5" s="23">
        <v>75.06</v>
      </c>
      <c r="AI5" s="23">
        <v>1.54</v>
      </c>
      <c r="AJ5" s="35">
        <f>AI5/8</f>
        <v>0.1925</v>
      </c>
      <c r="AK5" s="23">
        <v>73.9</v>
      </c>
      <c r="AL5" s="51">
        <v>0.0096</v>
      </c>
      <c r="AM5">
        <v>27.43</v>
      </c>
      <c r="AN5">
        <v>3.43</v>
      </c>
      <c r="AO5">
        <v>81.03</v>
      </c>
      <c r="AP5" s="51">
        <v>0.107</v>
      </c>
      <c r="AQ5">
        <v>27.43</v>
      </c>
      <c r="AR5">
        <v>3.43</v>
      </c>
    </row>
    <row r="6" ht="33.75" spans="2:44">
      <c r="B6" s="43" t="s">
        <v>274</v>
      </c>
      <c r="C6" s="43" t="s">
        <v>275</v>
      </c>
      <c r="E6" s="45">
        <v>96.67</v>
      </c>
      <c r="F6" s="46">
        <f>E6/D7-1</f>
        <v>0.0519042437431991</v>
      </c>
      <c r="G6" s="47">
        <v>68.46</v>
      </c>
      <c r="H6" s="48">
        <f>G6/8</f>
        <v>8.5575</v>
      </c>
      <c r="I6" s="47">
        <v>88.32</v>
      </c>
      <c r="J6" s="46">
        <f>I6/D7-1</f>
        <v>-0.0389553862894452</v>
      </c>
      <c r="K6" s="47">
        <v>47.57</v>
      </c>
      <c r="L6" s="48">
        <f t="shared" si="0"/>
        <v>5.94625</v>
      </c>
      <c r="M6" s="23">
        <v>100</v>
      </c>
      <c r="N6" s="54">
        <v>0.088139281828074</v>
      </c>
      <c r="O6" s="23">
        <v>51.06</v>
      </c>
      <c r="P6" s="23">
        <v>6.3825</v>
      </c>
      <c r="Q6" s="23"/>
      <c r="R6" s="23"/>
      <c r="S6" s="23"/>
      <c r="T6" s="23"/>
      <c r="Y6">
        <v>86.67</v>
      </c>
      <c r="Z6" s="23"/>
      <c r="AA6" s="23">
        <v>67.23</v>
      </c>
      <c r="AB6" s="53">
        <f t="shared" si="1"/>
        <v>8.40375</v>
      </c>
      <c r="AC6" s="23">
        <v>83.33</v>
      </c>
      <c r="AD6" s="23"/>
      <c r="AE6" s="23">
        <v>39.35</v>
      </c>
      <c r="AF6" s="35">
        <f t="shared" si="2"/>
        <v>4.91875</v>
      </c>
      <c r="AK6" s="23"/>
    </row>
    <row r="7" ht="33.75" spans="2:44">
      <c r="B7" s="43" t="s">
        <v>276</v>
      </c>
      <c r="C7" s="43" t="s">
        <v>275</v>
      </c>
      <c r="D7" s="44">
        <v>91.9</v>
      </c>
      <c r="E7" s="23"/>
      <c r="F7" s="23"/>
      <c r="G7" s="23"/>
      <c r="H7" s="23"/>
      <c r="I7" s="23">
        <v>93.94</v>
      </c>
      <c r="J7" s="54">
        <f>I7/D7-1</f>
        <v>0.0221980413492926</v>
      </c>
      <c r="K7" s="23">
        <v>12.16</v>
      </c>
      <c r="L7" s="23">
        <f t="shared" si="0"/>
        <v>1.52</v>
      </c>
      <c r="M7" s="55">
        <v>93.94</v>
      </c>
      <c r="N7" s="52">
        <f>M7/D7-1</f>
        <v>0.0221980413492926</v>
      </c>
      <c r="O7" s="23">
        <v>84.97</v>
      </c>
      <c r="P7" s="35">
        <f>O7/8</f>
        <v>10.62125</v>
      </c>
      <c r="Q7" s="23"/>
      <c r="R7" s="23"/>
      <c r="S7" s="23"/>
      <c r="T7" s="23"/>
      <c r="U7" s="23">
        <v>81.82</v>
      </c>
      <c r="V7" s="23"/>
      <c r="W7" s="23">
        <v>85.19</v>
      </c>
      <c r="X7" s="35">
        <f>W7/8</f>
        <v>10.64875</v>
      </c>
      <c r="Y7" s="23">
        <v>87.88</v>
      </c>
      <c r="AA7" s="23">
        <v>48.99</v>
      </c>
      <c r="AB7" s="53">
        <f t="shared" si="1"/>
        <v>6.12375</v>
      </c>
      <c r="AC7" s="23">
        <v>87.88</v>
      </c>
      <c r="AD7" s="23"/>
      <c r="AE7" s="23">
        <v>44.6</v>
      </c>
      <c r="AF7" s="35">
        <f t="shared" si="2"/>
        <v>5.575</v>
      </c>
      <c r="AK7">
        <v>90.91</v>
      </c>
      <c r="AL7" s="51"/>
      <c r="AM7">
        <v>39.38</v>
      </c>
      <c r="AN7">
        <v>4.92</v>
      </c>
      <c r="AO7">
        <v>91.9</v>
      </c>
      <c r="AP7" s="51">
        <v>0.0222</v>
      </c>
      <c r="AQ7">
        <v>39.38</v>
      </c>
      <c r="AR7">
        <v>4.92</v>
      </c>
    </row>
    <row r="15" ht="14.25"/>
    <row r="16" ht="33.75" spans="2:44">
      <c r="B16" s="36" t="s">
        <v>277</v>
      </c>
      <c r="C16" s="23"/>
      <c r="D16" s="37" t="s">
        <v>253</v>
      </c>
      <c r="E16" s="38" t="s">
        <v>278</v>
      </c>
      <c r="F16" s="39"/>
      <c r="G16" s="39"/>
      <c r="H16" s="40"/>
    </row>
    <row r="17" ht="17.25" spans="2:8">
      <c r="B17" s="41" t="s">
        <v>264</v>
      </c>
      <c r="C17" s="41" t="s">
        <v>265</v>
      </c>
      <c r="D17" s="42" t="s">
        <v>266</v>
      </c>
      <c r="E17" s="42" t="s">
        <v>266</v>
      </c>
      <c r="F17" s="42" t="s">
        <v>267</v>
      </c>
      <c r="G17" s="42" t="s">
        <v>268</v>
      </c>
      <c r="H17" s="42" t="s">
        <v>269</v>
      </c>
    </row>
    <row r="18" ht="17.25" spans="2:8">
      <c r="B18" s="43" t="s">
        <v>270</v>
      </c>
      <c r="C18" s="43" t="s">
        <v>271</v>
      </c>
      <c r="D18" s="44">
        <v>87.1</v>
      </c>
      <c r="E18" s="45">
        <v>87</v>
      </c>
      <c r="F18" s="46">
        <f>E18/D18-1</f>
        <v>-0.00114810562571754</v>
      </c>
      <c r="G18" s="47">
        <v>12.52</v>
      </c>
      <c r="H18" s="48">
        <v>0.39</v>
      </c>
    </row>
    <row r="19" ht="33.75" spans="2:8">
      <c r="B19" s="43" t="s">
        <v>272</v>
      </c>
      <c r="C19" s="43" t="s">
        <v>273</v>
      </c>
      <c r="D19" s="44">
        <v>77.7</v>
      </c>
      <c r="E19" s="45">
        <v>77.83</v>
      </c>
      <c r="F19" s="46">
        <v>0.0633</v>
      </c>
      <c r="G19" s="47">
        <v>9.96</v>
      </c>
      <c r="H19" s="48">
        <v>0.31</v>
      </c>
    </row>
    <row r="20" ht="33.75" spans="2:8">
      <c r="B20" s="43" t="s">
        <v>276</v>
      </c>
      <c r="C20" s="43" t="s">
        <v>275</v>
      </c>
      <c r="D20" s="44">
        <v>94</v>
      </c>
    </row>
    <row r="21" spans="2:8">
      <c r="E21" s="23"/>
      <c r="F21" s="23"/>
      <c r="G21" s="23"/>
      <c r="H21" s="23"/>
    </row>
  </sheetData>
  <sheetProtection formatCells="0" formatColumns="0" formatRows="0" insertRows="0" insertColumns="0" insertHyperlinks="0" deleteColumns="0" deleteRows="0" sort="0" autoFilter="0" pivotTables="0"/>
  <mergeCells count="11">
    <mergeCell ref="E2:H2"/>
    <mergeCell ref="I2:L2"/>
    <mergeCell ref="M2:P2"/>
    <mergeCell ref="Q2:T2"/>
    <mergeCell ref="U2:X2"/>
    <mergeCell ref="Y2:AB2"/>
    <mergeCell ref="AC2:AF2"/>
    <mergeCell ref="AG2:AJ2"/>
    <mergeCell ref="AK2:AN2"/>
    <mergeCell ref="AO2:AR2"/>
    <mergeCell ref="E16:H16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F24" sqref="F24"/>
    </sheetView>
  </sheetViews>
  <sheetFormatPr defaultColWidth="9.23333333333333" defaultRowHeight="13.5" outlineLevelRow="5"/>
  <cols>
    <col min="1" max="1" width="15.5416666666667" customWidth="1"/>
    <col min="2" max="2" width="16.7666666666667" customWidth="1"/>
    <col min="3" max="3" width="11.5416666666667" customWidth="1"/>
    <col min="4" max="4" width="12.2333333333333" customWidth="1"/>
    <col min="5" max="5" width="17.6166666666667" customWidth="1"/>
    <col min="6" max="6" width="18.3083333333333" customWidth="1"/>
    <col min="7" max="7" width="12.7666666666667" customWidth="1"/>
    <col min="8" max="8" width="13.4583333333333" customWidth="1"/>
    <col min="9" max="9" width="20.6166666666667" customWidth="1"/>
    <col min="10" max="10" width="21.3083333333333" customWidth="1"/>
    <col min="11" max="11" width="14.925" customWidth="1"/>
  </cols>
  <sheetData>
    <row r="1" spans="1:11">
      <c r="A1" s="23" t="s">
        <v>279</v>
      </c>
      <c r="B1" s="23" t="s">
        <v>280</v>
      </c>
      <c r="C1" s="23" t="s">
        <v>281</v>
      </c>
      <c r="D1" s="23" t="s">
        <v>282</v>
      </c>
      <c r="E1" s="23" t="s">
        <v>283</v>
      </c>
      <c r="F1" s="23" t="s">
        <v>284</v>
      </c>
      <c r="G1" s="23" t="s">
        <v>285</v>
      </c>
      <c r="H1" s="23" t="s">
        <v>286</v>
      </c>
      <c r="I1" s="23" t="s">
        <v>287</v>
      </c>
      <c r="J1" s="23" t="s">
        <v>288</v>
      </c>
      <c r="K1" s="23" t="s">
        <v>0</v>
      </c>
    </row>
    <row r="2" spans="1:11">
      <c r="A2" s="23">
        <v>100</v>
      </c>
      <c r="B2" s="23">
        <v>128</v>
      </c>
      <c r="C2" s="35">
        <v>0.594047447</v>
      </c>
      <c r="D2" s="35">
        <v>5.16788944766667</v>
      </c>
      <c r="E2" s="35">
        <v>549.109478846046</v>
      </c>
      <c r="F2" s="35">
        <v>4857.09448511686</v>
      </c>
      <c r="G2" s="35">
        <v>924.352897431181</v>
      </c>
      <c r="H2" s="35">
        <v>939.860369364106</v>
      </c>
      <c r="I2" s="35">
        <f t="shared" ref="I2:I6" si="0">E2/A2</f>
        <v>5.49109478846046</v>
      </c>
      <c r="J2" s="35">
        <f t="shared" ref="J2:J6" si="1">F2/B2</f>
        <v>37.9460506649755</v>
      </c>
      <c r="K2" s="23" t="str">
        <f t="shared" ref="K2:K6" si="2">_xlfn.CONCAT("I_",A2,"_O_",B2)</f>
        <v>I_100_O_128</v>
      </c>
    </row>
    <row r="3" spans="1:11">
      <c r="A3" s="23">
        <v>100</v>
      </c>
      <c r="B3" s="23">
        <v>512</v>
      </c>
      <c r="C3" s="35">
        <v>0.613734586666667</v>
      </c>
      <c r="D3" s="35">
        <v>20.3624312988889</v>
      </c>
      <c r="E3" s="35">
        <v>571.460967524337</v>
      </c>
      <c r="F3" s="35">
        <v>19311.0171008277</v>
      </c>
      <c r="G3" s="35">
        <v>931.120683010668</v>
      </c>
      <c r="H3" s="35">
        <v>948.364997154413</v>
      </c>
      <c r="I3" s="35">
        <f t="shared" si="0"/>
        <v>5.71460967524337</v>
      </c>
      <c r="J3" s="35">
        <f t="shared" si="1"/>
        <v>37.7168302750541</v>
      </c>
      <c r="K3" s="23" t="str">
        <f t="shared" si="2"/>
        <v>I_100_O_512</v>
      </c>
    </row>
    <row r="4" spans="1:11">
      <c r="A4" s="23">
        <v>100</v>
      </c>
      <c r="B4" s="23">
        <v>1024</v>
      </c>
      <c r="C4" s="35">
        <v>0.579967649222222</v>
      </c>
      <c r="D4" s="35">
        <v>40.1241634736667</v>
      </c>
      <c r="E4" s="35">
        <v>543.244046695571</v>
      </c>
      <c r="F4" s="35">
        <v>38145.6584012912</v>
      </c>
      <c r="G4" s="35">
        <v>936.679912102166</v>
      </c>
      <c r="H4" s="35">
        <v>950.69043436447</v>
      </c>
      <c r="I4" s="35">
        <f t="shared" si="0"/>
        <v>5.43244046695571</v>
      </c>
      <c r="J4" s="35">
        <f t="shared" si="1"/>
        <v>37.2516195325109</v>
      </c>
      <c r="K4" s="23" t="str">
        <f t="shared" si="2"/>
        <v>I_100_O_1024</v>
      </c>
    </row>
    <row r="5" spans="1:11">
      <c r="A5" s="23">
        <v>1000</v>
      </c>
      <c r="B5" s="23">
        <v>512</v>
      </c>
      <c r="C5" s="35">
        <v>0.610688092888889</v>
      </c>
      <c r="D5" s="35">
        <v>19.9995711814444</v>
      </c>
      <c r="E5" s="35">
        <v>578.759512015551</v>
      </c>
      <c r="F5" s="35">
        <v>19049.858809501</v>
      </c>
      <c r="G5" s="35">
        <v>947.717040425173</v>
      </c>
      <c r="H5" s="35">
        <v>952.513363245281</v>
      </c>
      <c r="I5" s="35">
        <f t="shared" si="0"/>
        <v>0.578759512015551</v>
      </c>
      <c r="J5" s="35">
        <f t="shared" si="1"/>
        <v>37.2067554873066</v>
      </c>
      <c r="K5" s="23" t="str">
        <f t="shared" si="2"/>
        <v>I_1000_O_512</v>
      </c>
    </row>
    <row r="6" spans="1:11">
      <c r="A6" s="23">
        <v>8000</v>
      </c>
      <c r="B6" s="23">
        <v>512</v>
      </c>
      <c r="C6" s="35">
        <v>1.12249773833333</v>
      </c>
      <c r="D6" s="35">
        <v>20.6081368384444</v>
      </c>
      <c r="E6" s="35">
        <v>1291.52334298489</v>
      </c>
      <c r="F6" s="35">
        <v>19866.8393797592</v>
      </c>
      <c r="G6" s="35">
        <v>1150.57990664866</v>
      </c>
      <c r="H6" s="35">
        <v>964.028894776052</v>
      </c>
      <c r="I6" s="35">
        <f t="shared" si="0"/>
        <v>0.161440417873111</v>
      </c>
      <c r="J6" s="35">
        <f t="shared" si="1"/>
        <v>38.8024206635922</v>
      </c>
      <c r="K6" s="23" t="str">
        <f t="shared" si="2"/>
        <v>I_8000_O_512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4"/>
  <sheetViews>
    <sheetView topLeftCell="A31" workbookViewId="0">
      <pane xSplit="4" topLeftCell="E1" activePane="topRight" state="frozen"/>
      <selection/>
      <selection pane="topRight" activeCell="A1" sqref="A1:E58"/>
    </sheetView>
  </sheetViews>
  <sheetFormatPr defaultColWidth="9" defaultRowHeight="13.5"/>
  <cols>
    <col min="1" max="1" width="27.0833333333333" customWidth="1"/>
    <col min="2" max="2" width="10.0833333333333" customWidth="1"/>
    <col min="3" max="3" width="12.175" customWidth="1"/>
    <col min="4" max="4" width="13.7916666666667" customWidth="1"/>
    <col min="5" max="5" width="12.1833333333333" customWidth="1"/>
    <col min="6" max="6" width="20.5083333333333" customWidth="1"/>
    <col min="7" max="7" width="16.8166666666667" customWidth="1"/>
    <col min="8" max="8" width="19.8666666666667" customWidth="1"/>
    <col min="9" max="9" width="15.8583333333333" customWidth="1"/>
    <col min="10" max="10" width="15.3833333333333" customWidth="1"/>
    <col min="11" max="11" width="18.6" customWidth="1"/>
    <col min="12" max="12" width="16.5416666666667" customWidth="1"/>
  </cols>
  <sheetData>
    <row r="1" ht="19.5" customHeight="1" spans="1:12">
      <c r="A1" s="31" t="s">
        <v>11</v>
      </c>
      <c r="B1" s="31" t="s">
        <v>202</v>
      </c>
      <c r="C1" s="31" t="s">
        <v>203</v>
      </c>
      <c r="D1" s="31" t="s">
        <v>204</v>
      </c>
      <c r="E1" s="31" t="s">
        <v>12</v>
      </c>
      <c r="F1" s="31" t="s">
        <v>5</v>
      </c>
      <c r="G1" s="31" t="s">
        <v>225</v>
      </c>
      <c r="H1" s="31" t="s">
        <v>6</v>
      </c>
      <c r="I1" s="31" t="s">
        <v>7</v>
      </c>
      <c r="J1" s="31" t="s">
        <v>208</v>
      </c>
      <c r="K1" s="31" t="s">
        <v>209</v>
      </c>
      <c r="L1" s="31" t="s">
        <v>10</v>
      </c>
    </row>
    <row r="2" ht="14.25" customHeight="1" spans="1:12">
      <c r="A2" s="32" t="s">
        <v>289</v>
      </c>
      <c r="B2" s="32">
        <v>1024</v>
      </c>
      <c r="C2" s="32">
        <v>1024</v>
      </c>
      <c r="D2" s="32">
        <v>1</v>
      </c>
      <c r="E2" s="32">
        <v>32</v>
      </c>
      <c r="F2" s="33">
        <v>0.107172334764695</v>
      </c>
      <c r="G2" s="34">
        <v>109.744470799048</v>
      </c>
      <c r="H2" s="34">
        <v>109.744470799048</v>
      </c>
      <c r="I2" s="34">
        <v>219.488941598096</v>
      </c>
      <c r="J2" s="34">
        <v>248.10154493025</v>
      </c>
      <c r="K2" s="34">
        <v>8.87788057068436</v>
      </c>
      <c r="L2" s="34">
        <v>112.639496785088</v>
      </c>
    </row>
    <row r="3" spans="1:12">
      <c r="A3" s="32" t="s">
        <v>13</v>
      </c>
      <c r="B3" s="32">
        <v>1024</v>
      </c>
      <c r="C3" s="32">
        <v>1024</v>
      </c>
      <c r="D3" s="32">
        <v>2</v>
      </c>
      <c r="E3" s="32">
        <v>32</v>
      </c>
      <c r="F3" s="33">
        <v>0.193267717048985</v>
      </c>
      <c r="G3" s="34">
        <v>197.906142258161</v>
      </c>
      <c r="H3" s="34">
        <v>197.906142258161</v>
      </c>
      <c r="I3" s="34">
        <v>395.812284516322</v>
      </c>
      <c r="J3" s="34">
        <v>280.029413188458</v>
      </c>
      <c r="K3" s="34">
        <v>9.64986283568183</v>
      </c>
      <c r="L3" s="34">
        <v>103.62841597109</v>
      </c>
    </row>
    <row r="4" ht="16.5" customHeight="1" spans="1:12">
      <c r="A4" s="32" t="s">
        <v>14</v>
      </c>
      <c r="B4" s="32">
        <v>1024</v>
      </c>
      <c r="C4" s="32">
        <v>1024</v>
      </c>
      <c r="D4" s="32">
        <v>4</v>
      </c>
      <c r="E4" s="32">
        <v>32</v>
      </c>
      <c r="F4" s="33">
        <v>0.358093328012549</v>
      </c>
      <c r="G4" s="34">
        <v>366.687567884851</v>
      </c>
      <c r="H4" s="34">
        <v>366.687567884851</v>
      </c>
      <c r="I4" s="34">
        <v>733.375135769702</v>
      </c>
      <c r="J4" s="34">
        <v>309.305455244611</v>
      </c>
      <c r="K4" s="34">
        <v>10.1193019859295</v>
      </c>
      <c r="L4" s="34">
        <v>98.8210453043561</v>
      </c>
    </row>
    <row r="5" spans="1:12">
      <c r="A5" s="32" t="s">
        <v>15</v>
      </c>
      <c r="B5" s="32">
        <v>1024</v>
      </c>
      <c r="C5" s="32">
        <v>1024</v>
      </c>
      <c r="D5" s="32">
        <v>8</v>
      </c>
      <c r="E5" s="32">
        <v>32</v>
      </c>
      <c r="F5" s="33">
        <v>0.664442211785758</v>
      </c>
      <c r="G5" s="34">
        <v>680.388824868616</v>
      </c>
      <c r="H5" s="34">
        <v>680.388824868616</v>
      </c>
      <c r="I5" s="34">
        <v>1360.77764973723</v>
      </c>
      <c r="J5" s="34">
        <v>341.198144029476</v>
      </c>
      <c r="K5" s="34">
        <v>10.5854806099403</v>
      </c>
      <c r="L5" s="34">
        <v>94.4690219413325</v>
      </c>
    </row>
    <row r="6" spans="1:12">
      <c r="A6" s="32" t="s">
        <v>16</v>
      </c>
      <c r="B6" s="32">
        <v>1024</v>
      </c>
      <c r="C6" s="32">
        <v>1024</v>
      </c>
      <c r="D6" s="32">
        <v>16</v>
      </c>
      <c r="E6" s="32">
        <v>64</v>
      </c>
      <c r="F6" s="33">
        <v>1.0029656791082</v>
      </c>
      <c r="G6" s="34">
        <v>1027.0368554068</v>
      </c>
      <c r="H6" s="34">
        <v>1027.0368554068</v>
      </c>
      <c r="I6" s="34">
        <v>2054.07371081361</v>
      </c>
      <c r="J6" s="34">
        <v>383.767741557676</v>
      </c>
      <c r="K6" s="34">
        <v>13.4058447911122</v>
      </c>
      <c r="L6" s="34">
        <v>74.5943292333937</v>
      </c>
    </row>
    <row r="7" spans="1:12">
      <c r="A7" s="32" t="s">
        <v>17</v>
      </c>
      <c r="B7" s="32">
        <v>1024</v>
      </c>
      <c r="C7" s="32">
        <v>1024</v>
      </c>
      <c r="D7" s="32">
        <v>32</v>
      </c>
      <c r="E7" s="32">
        <v>128</v>
      </c>
      <c r="F7" s="33">
        <v>1.47400032073621</v>
      </c>
      <c r="G7" s="34">
        <v>1509.37632843388</v>
      </c>
      <c r="H7" s="34">
        <v>1509.37632843388</v>
      </c>
      <c r="I7" s="34">
        <v>3018.75265686776</v>
      </c>
      <c r="J7" s="34">
        <v>568.000187999132</v>
      </c>
      <c r="K7" s="34">
        <v>18.5408977035116</v>
      </c>
      <c r="L7" s="34">
        <v>53.9348210637397</v>
      </c>
    </row>
    <row r="8" spans="1:12">
      <c r="A8" s="32" t="s">
        <v>18</v>
      </c>
      <c r="B8" s="32">
        <v>1024</v>
      </c>
      <c r="C8" s="32">
        <v>1024</v>
      </c>
      <c r="D8" s="32">
        <v>64</v>
      </c>
      <c r="E8" s="32">
        <v>256</v>
      </c>
      <c r="F8" s="33">
        <v>1.99330509415017</v>
      </c>
      <c r="G8" s="34">
        <v>2041.14441640977</v>
      </c>
      <c r="H8" s="34">
        <v>2041.14441640977</v>
      </c>
      <c r="I8" s="34">
        <v>4082.28883281955</v>
      </c>
      <c r="J8" s="34">
        <v>1044.62359942954</v>
      </c>
      <c r="K8" s="34">
        <v>28.4343387325027</v>
      </c>
      <c r="L8" s="34">
        <v>35.1687447141832</v>
      </c>
    </row>
    <row r="9" spans="1:12">
      <c r="A9" s="32" t="s">
        <v>19</v>
      </c>
      <c r="B9" s="32">
        <v>1024</v>
      </c>
      <c r="C9" s="32">
        <v>1024</v>
      </c>
      <c r="D9" s="32">
        <v>128</v>
      </c>
      <c r="E9" s="32">
        <v>512</v>
      </c>
      <c r="F9" s="33">
        <v>2.39587825759292</v>
      </c>
      <c r="G9" s="34">
        <v>2453.37933577515</v>
      </c>
      <c r="H9" s="34">
        <v>2453.37933577515</v>
      </c>
      <c r="I9" s="34">
        <v>4906.7586715503</v>
      </c>
      <c r="J9" s="34">
        <v>1985.14310481914</v>
      </c>
      <c r="K9" s="34">
        <v>46.9112893339428</v>
      </c>
      <c r="L9" s="34">
        <v>21.3168304303341</v>
      </c>
    </row>
    <row r="10" spans="1:12">
      <c r="A10" s="32" t="s">
        <v>20</v>
      </c>
      <c r="B10" s="32">
        <v>1024</v>
      </c>
      <c r="C10" s="32">
        <v>1024</v>
      </c>
      <c r="D10" s="32">
        <v>256</v>
      </c>
      <c r="E10" s="32">
        <v>1024</v>
      </c>
      <c r="F10" s="33">
        <v>2.34298916602796</v>
      </c>
      <c r="G10" s="34">
        <v>2399.22090601263</v>
      </c>
      <c r="H10" s="34">
        <v>2399.22090601263</v>
      </c>
      <c r="I10" s="34">
        <v>4798.44181202527</v>
      </c>
      <c r="J10" s="34">
        <v>48336.8772130561</v>
      </c>
      <c r="K10" s="34">
        <v>49.8466216536122</v>
      </c>
      <c r="L10" s="34">
        <v>20.0615401169827</v>
      </c>
    </row>
    <row r="11" spans="1:12">
      <c r="A11" s="32" t="s">
        <v>21</v>
      </c>
      <c r="B11" s="32">
        <v>1024</v>
      </c>
      <c r="C11" s="32">
        <v>1024</v>
      </c>
      <c r="D11" s="32">
        <v>512</v>
      </c>
      <c r="E11" s="32">
        <v>2048</v>
      </c>
      <c r="F11" s="33">
        <v>2.24045468262976</v>
      </c>
      <c r="G11" s="34">
        <v>2294.22559501288</v>
      </c>
      <c r="H11" s="34">
        <v>2294.22559501288</v>
      </c>
      <c r="I11" s="34">
        <v>4588.45119002576</v>
      </c>
      <c r="J11" s="34">
        <v>148416.35598138</v>
      </c>
      <c r="K11" s="34">
        <v>53.6565387007552</v>
      </c>
      <c r="L11" s="34">
        <v>18.6370575555953</v>
      </c>
    </row>
    <row r="12" spans="1:12">
      <c r="A12" s="32" t="s">
        <v>290</v>
      </c>
      <c r="B12" s="32">
        <v>1024</v>
      </c>
      <c r="C12" s="32">
        <v>16384</v>
      </c>
      <c r="D12" s="32">
        <v>1</v>
      </c>
      <c r="E12" s="32">
        <v>16</v>
      </c>
      <c r="F12" s="33">
        <v>0.00683938579682779</v>
      </c>
      <c r="G12" s="34">
        <v>7.00353105595166</v>
      </c>
      <c r="H12" s="34">
        <v>112.056496895226</v>
      </c>
      <c r="I12" s="34">
        <v>119.060027951178</v>
      </c>
      <c r="J12" s="34">
        <v>253.94956706441</v>
      </c>
      <c r="K12" s="34">
        <v>8.90904460076951</v>
      </c>
      <c r="L12" s="34">
        <v>112.245481396919</v>
      </c>
    </row>
    <row r="13" spans="1:12">
      <c r="A13" s="32" t="s">
        <v>22</v>
      </c>
      <c r="B13" s="32">
        <v>1024</v>
      </c>
      <c r="C13" s="32">
        <v>16384</v>
      </c>
      <c r="D13" s="32">
        <v>2</v>
      </c>
      <c r="E13" s="32">
        <v>8</v>
      </c>
      <c r="F13" s="33">
        <v>0.0130006128351116</v>
      </c>
      <c r="G13" s="34">
        <v>13.3126275431543</v>
      </c>
      <c r="H13" s="34">
        <v>213.002040690469</v>
      </c>
      <c r="I13" s="34">
        <v>226.314668233624</v>
      </c>
      <c r="J13" s="34">
        <v>332.410174014512</v>
      </c>
      <c r="K13" s="34">
        <v>9.29468881113451</v>
      </c>
      <c r="L13" s="34">
        <v>107.588324936931</v>
      </c>
    </row>
    <row r="14" spans="1:12">
      <c r="A14" s="32" t="s">
        <v>291</v>
      </c>
      <c r="B14" s="32">
        <v>1024</v>
      </c>
      <c r="C14" s="32">
        <v>16384</v>
      </c>
      <c r="D14" s="32">
        <v>4</v>
      </c>
      <c r="E14" s="32">
        <v>16</v>
      </c>
      <c r="F14" s="33">
        <v>0.025293161457184</v>
      </c>
      <c r="G14" s="34">
        <v>25.9001973321565</v>
      </c>
      <c r="H14" s="34">
        <v>414.403157314504</v>
      </c>
      <c r="I14" s="34">
        <v>440.30335464666</v>
      </c>
      <c r="J14" s="34">
        <v>342.031780659453</v>
      </c>
      <c r="K14" s="34">
        <v>9.57737621701516</v>
      </c>
      <c r="L14" s="34">
        <v>104.41273030743</v>
      </c>
    </row>
    <row r="15" spans="1:12">
      <c r="A15" s="32" t="s">
        <v>292</v>
      </c>
      <c r="B15" s="32">
        <v>1024</v>
      </c>
      <c r="C15" s="32">
        <v>16384</v>
      </c>
      <c r="D15" s="32">
        <v>8</v>
      </c>
      <c r="E15" s="32">
        <v>16</v>
      </c>
      <c r="F15" s="33">
        <v>0.0476823071546362</v>
      </c>
      <c r="G15" s="34">
        <v>48.8266825263475</v>
      </c>
      <c r="H15" s="34">
        <v>781.22692042156</v>
      </c>
      <c r="I15" s="34">
        <v>830.053602947908</v>
      </c>
      <c r="J15" s="34">
        <v>487.413199298316</v>
      </c>
      <c r="K15" s="34">
        <v>10.0158184211886</v>
      </c>
      <c r="L15" s="34">
        <v>99.8420656153756</v>
      </c>
    </row>
    <row r="16" ht="16.5" customHeight="1" spans="1:12">
      <c r="A16" s="32" t="s">
        <v>293</v>
      </c>
      <c r="B16" s="32">
        <v>1024</v>
      </c>
      <c r="C16" s="32">
        <v>16384</v>
      </c>
      <c r="D16" s="32">
        <v>16</v>
      </c>
      <c r="E16" s="32">
        <v>32</v>
      </c>
      <c r="F16" s="33">
        <v>0.0757397971574203</v>
      </c>
      <c r="G16" s="34">
        <v>77.5575522891983</v>
      </c>
      <c r="H16" s="34">
        <v>1240.92083662717</v>
      </c>
      <c r="I16" s="34">
        <v>1318.47838891637</v>
      </c>
      <c r="J16" s="34">
        <v>625.724418947356</v>
      </c>
      <c r="K16" s="34">
        <v>12.0697395210218</v>
      </c>
      <c r="L16" s="34">
        <v>82.85182942501</v>
      </c>
    </row>
    <row r="17" spans="1:12">
      <c r="A17" s="32" t="s">
        <v>294</v>
      </c>
      <c r="B17" s="32">
        <v>1024</v>
      </c>
      <c r="C17" s="32">
        <v>16384</v>
      </c>
      <c r="D17" s="32">
        <v>32</v>
      </c>
      <c r="E17" s="32">
        <v>64</v>
      </c>
      <c r="F17" s="33">
        <v>0.0408535858867504</v>
      </c>
      <c r="G17" s="34">
        <v>41.8340719480324</v>
      </c>
      <c r="H17" s="34">
        <v>669.345151168518</v>
      </c>
      <c r="I17" s="34">
        <v>711.179223116551</v>
      </c>
      <c r="J17" s="34">
        <v>1128.22778312693</v>
      </c>
      <c r="K17" s="34">
        <v>44.7126544102661</v>
      </c>
      <c r="L17" s="34">
        <v>22.3650331922678</v>
      </c>
    </row>
    <row r="18" spans="1:12">
      <c r="A18" s="32" t="s">
        <v>295</v>
      </c>
      <c r="B18" s="32">
        <v>1024</v>
      </c>
      <c r="C18" s="32">
        <v>16384</v>
      </c>
      <c r="D18" s="32">
        <v>64</v>
      </c>
      <c r="E18" s="32">
        <v>128</v>
      </c>
      <c r="F18" s="33">
        <v>0.0197330166517725</v>
      </c>
      <c r="G18" s="34">
        <v>20.206609051415</v>
      </c>
      <c r="H18" s="34">
        <v>323.305744822641</v>
      </c>
      <c r="I18" s="34">
        <v>343.512353874056</v>
      </c>
      <c r="J18" s="34">
        <v>6227.26448362664</v>
      </c>
      <c r="K18" s="34">
        <v>189.910719803985</v>
      </c>
      <c r="L18" s="34">
        <v>5.26563219302282</v>
      </c>
    </row>
    <row r="19" spans="1:12">
      <c r="A19" s="32" t="s">
        <v>296</v>
      </c>
      <c r="B19" s="32">
        <v>8192</v>
      </c>
      <c r="C19" s="32">
        <v>1024</v>
      </c>
      <c r="D19" s="32">
        <v>1</v>
      </c>
      <c r="E19" s="32">
        <v>32</v>
      </c>
      <c r="F19" s="33">
        <v>0.103107885830907</v>
      </c>
      <c r="G19" s="34">
        <v>844.659800726791</v>
      </c>
      <c r="H19" s="34">
        <v>105.582475090848</v>
      </c>
      <c r="I19" s="34">
        <v>950.24227581764</v>
      </c>
      <c r="J19" s="34">
        <v>459.847506775986</v>
      </c>
      <c r="K19" s="34">
        <v>9.03041457512631</v>
      </c>
      <c r="L19" s="34">
        <v>110.736887180621</v>
      </c>
    </row>
    <row r="20" spans="1:12">
      <c r="A20" s="32" t="s">
        <v>23</v>
      </c>
      <c r="B20" s="32">
        <v>8192</v>
      </c>
      <c r="C20" s="32">
        <v>1024</v>
      </c>
      <c r="D20" s="32">
        <v>2</v>
      </c>
      <c r="E20" s="32">
        <v>32</v>
      </c>
      <c r="F20" s="33">
        <v>0.186370046381209</v>
      </c>
      <c r="G20" s="34">
        <v>1526.74341995486</v>
      </c>
      <c r="H20" s="34">
        <v>190.842927494358</v>
      </c>
      <c r="I20" s="34">
        <v>1717.58634744922</v>
      </c>
      <c r="J20" s="34">
        <v>585.181750691845</v>
      </c>
      <c r="K20" s="34">
        <v>9.87512788997406</v>
      </c>
      <c r="L20" s="34">
        <v>101.264511319926</v>
      </c>
    </row>
    <row r="21" spans="1:12">
      <c r="A21" s="32" t="s">
        <v>24</v>
      </c>
      <c r="B21" s="32">
        <v>8192</v>
      </c>
      <c r="C21" s="32">
        <v>1024</v>
      </c>
      <c r="D21" s="32">
        <v>4</v>
      </c>
      <c r="E21" s="32">
        <v>32</v>
      </c>
      <c r="F21" s="33">
        <v>0.35467517872207</v>
      </c>
      <c r="G21" s="34">
        <v>2905.4990640912</v>
      </c>
      <c r="H21" s="34">
        <v>363.1873830114</v>
      </c>
      <c r="I21" s="34">
        <v>3268.6864471026</v>
      </c>
      <c r="J21" s="34">
        <v>622.554241024772</v>
      </c>
      <c r="K21" s="34">
        <v>10.339098776567</v>
      </c>
      <c r="L21" s="34">
        <v>96.7202288720217</v>
      </c>
    </row>
    <row r="22" spans="1:12">
      <c r="A22" s="32" t="s">
        <v>25</v>
      </c>
      <c r="B22" s="32">
        <v>8192</v>
      </c>
      <c r="C22" s="32">
        <v>1024</v>
      </c>
      <c r="D22" s="32">
        <v>8</v>
      </c>
      <c r="E22" s="32">
        <v>32</v>
      </c>
      <c r="F22" s="33">
        <v>0.692624490744256</v>
      </c>
      <c r="G22" s="34">
        <v>5673.97982817694</v>
      </c>
      <c r="H22" s="34">
        <v>709.247478522118</v>
      </c>
      <c r="I22" s="34">
        <v>6383.22730669906</v>
      </c>
      <c r="J22" s="34">
        <v>403.168391436338</v>
      </c>
      <c r="K22" s="34">
        <v>10.424332376178</v>
      </c>
      <c r="L22" s="34">
        <v>95.929404772744</v>
      </c>
    </row>
    <row r="23" spans="1:12">
      <c r="A23" s="32" t="s">
        <v>26</v>
      </c>
      <c r="B23" s="32">
        <v>8192</v>
      </c>
      <c r="C23" s="32">
        <v>1024</v>
      </c>
      <c r="D23" s="32">
        <v>16</v>
      </c>
      <c r="E23" s="32">
        <v>64</v>
      </c>
      <c r="F23" s="33">
        <v>0.85107458902097</v>
      </c>
      <c r="G23" s="34">
        <v>6972.00303325979</v>
      </c>
      <c r="H23" s="34">
        <v>871.500379157474</v>
      </c>
      <c r="I23" s="34">
        <v>7843.50341241726</v>
      </c>
      <c r="J23" s="34">
        <v>723.249199159909</v>
      </c>
      <c r="K23" s="34">
        <v>15.9014452836564</v>
      </c>
      <c r="L23" s="34">
        <v>62.8873654036848</v>
      </c>
    </row>
    <row r="24" spans="1:12">
      <c r="A24" s="32" t="s">
        <v>27</v>
      </c>
      <c r="B24" s="32">
        <v>8192</v>
      </c>
      <c r="C24" s="32">
        <v>1024</v>
      </c>
      <c r="D24" s="32">
        <v>32</v>
      </c>
      <c r="E24" s="32">
        <v>128</v>
      </c>
      <c r="F24" s="33">
        <v>1.06882453708236</v>
      </c>
      <c r="G24" s="34">
        <v>8755.81060777871</v>
      </c>
      <c r="H24" s="34">
        <v>1094.47632597233</v>
      </c>
      <c r="I24" s="34">
        <v>9850.28693375105</v>
      </c>
      <c r="J24" s="34">
        <v>3284.18615001282</v>
      </c>
      <c r="K24" s="34">
        <v>24.6600655266749</v>
      </c>
      <c r="L24" s="34">
        <v>40.5513926521523</v>
      </c>
    </row>
    <row r="25" spans="1:12">
      <c r="A25" s="32" t="s">
        <v>28</v>
      </c>
      <c r="B25" s="32">
        <v>8192</v>
      </c>
      <c r="C25" s="32">
        <v>1024</v>
      </c>
      <c r="D25" s="32">
        <v>64</v>
      </c>
      <c r="E25" s="32">
        <v>256</v>
      </c>
      <c r="F25" s="33">
        <v>1.20760357521895</v>
      </c>
      <c r="G25" s="34">
        <v>9892.68848819364</v>
      </c>
      <c r="H25" s="34">
        <v>1236.5860610242</v>
      </c>
      <c r="I25" s="34">
        <v>11129.2745492178</v>
      </c>
      <c r="J25" s="34">
        <v>5887.925128005</v>
      </c>
      <c r="K25" s="34">
        <v>44.720479731389</v>
      </c>
      <c r="L25" s="34">
        <v>22.3611196929559</v>
      </c>
    </row>
    <row r="26" spans="1:12">
      <c r="A26" s="32" t="s">
        <v>29</v>
      </c>
      <c r="B26" s="32">
        <v>8192</v>
      </c>
      <c r="C26" s="32">
        <v>1024</v>
      </c>
      <c r="D26" s="32">
        <v>128</v>
      </c>
      <c r="E26" s="32">
        <v>512</v>
      </c>
      <c r="F26" s="33">
        <v>1.17584764355558</v>
      </c>
      <c r="G26" s="34">
        <v>9632.54389600734</v>
      </c>
      <c r="H26" s="34">
        <v>1204.06798700091</v>
      </c>
      <c r="I26" s="34">
        <v>10836.6118830082</v>
      </c>
      <c r="J26" s="34">
        <v>11576.4663756981</v>
      </c>
      <c r="K26" s="34">
        <v>92.0191599395027</v>
      </c>
      <c r="L26" s="34">
        <v>10.867301990775</v>
      </c>
    </row>
    <row r="27" ht="16.5" customHeight="1" spans="1:12">
      <c r="A27" s="32" t="s">
        <v>297</v>
      </c>
      <c r="B27" s="32">
        <v>8192</v>
      </c>
      <c r="C27" s="32">
        <v>16384</v>
      </c>
      <c r="D27" s="32">
        <v>1</v>
      </c>
      <c r="E27" s="32">
        <v>16</v>
      </c>
      <c r="F27" s="33">
        <v>0.00674331800282263</v>
      </c>
      <c r="G27" s="34">
        <v>55.2412610791229</v>
      </c>
      <c r="H27" s="34">
        <v>110.482522158245</v>
      </c>
      <c r="I27" s="34">
        <v>165.723783237368</v>
      </c>
      <c r="J27" s="34">
        <v>537.361733120633</v>
      </c>
      <c r="K27" s="34">
        <v>9.01888661697919</v>
      </c>
      <c r="L27" s="34">
        <v>110.878431281903</v>
      </c>
    </row>
    <row r="28" spans="1:12">
      <c r="A28" s="32" t="s">
        <v>298</v>
      </c>
      <c r="B28" s="32">
        <v>8192</v>
      </c>
      <c r="C28" s="32">
        <v>16384</v>
      </c>
      <c r="D28" s="32">
        <v>2</v>
      </c>
      <c r="E28" s="32">
        <v>8</v>
      </c>
      <c r="F28" s="33">
        <v>0.0129685364044294</v>
      </c>
      <c r="G28" s="34">
        <v>106.238250225085</v>
      </c>
      <c r="H28" s="34">
        <v>212.476500450171</v>
      </c>
      <c r="I28" s="34">
        <v>318.714750675257</v>
      </c>
      <c r="J28" s="34">
        <v>706.039690761826</v>
      </c>
      <c r="K28" s="34">
        <v>9.28307569864063</v>
      </c>
      <c r="L28" s="34">
        <v>107.722917755204</v>
      </c>
    </row>
    <row r="29" spans="1:12">
      <c r="A29" s="32" t="s">
        <v>299</v>
      </c>
      <c r="B29" s="32">
        <v>8192</v>
      </c>
      <c r="C29" s="32">
        <v>16384</v>
      </c>
      <c r="D29" s="32">
        <v>4</v>
      </c>
      <c r="E29" s="32">
        <v>16</v>
      </c>
      <c r="F29" s="33">
        <v>0.02490086803076</v>
      </c>
      <c r="G29" s="34">
        <v>203.987910907985</v>
      </c>
      <c r="H29" s="34">
        <v>407.975821815971</v>
      </c>
      <c r="I29" s="34">
        <v>611.963732723957</v>
      </c>
      <c r="J29" s="34">
        <v>535.37905155099</v>
      </c>
      <c r="K29" s="34">
        <v>9.53971762737776</v>
      </c>
      <c r="L29" s="34">
        <v>104.824905627199</v>
      </c>
    </row>
    <row r="30" spans="1:12">
      <c r="A30" s="32" t="s">
        <v>300</v>
      </c>
      <c r="B30" s="32">
        <v>8192</v>
      </c>
      <c r="C30" s="32">
        <v>16384</v>
      </c>
      <c r="D30" s="32">
        <v>8</v>
      </c>
      <c r="E30" s="32">
        <v>16</v>
      </c>
      <c r="F30" s="33">
        <v>0.0456641329575537</v>
      </c>
      <c r="G30" s="34">
        <v>374.08057718828</v>
      </c>
      <c r="H30" s="34">
        <v>748.16115437656</v>
      </c>
      <c r="I30" s="34">
        <v>1122.24173156484</v>
      </c>
      <c r="J30" s="34">
        <v>1501.64923511329</v>
      </c>
      <c r="K30" s="34">
        <v>10.2524643569398</v>
      </c>
      <c r="L30" s="34">
        <v>97.5375251437094</v>
      </c>
    </row>
    <row r="31" spans="1:12">
      <c r="A31" s="32" t="s">
        <v>301</v>
      </c>
      <c r="B31" s="32">
        <v>8192</v>
      </c>
      <c r="C31" s="32">
        <v>16384</v>
      </c>
      <c r="D31" s="32">
        <v>16</v>
      </c>
      <c r="E31" s="32">
        <v>32</v>
      </c>
      <c r="F31" s="33">
        <v>0.0726638735586886</v>
      </c>
      <c r="G31" s="34">
        <v>595.262452192777</v>
      </c>
      <c r="H31" s="34">
        <v>1190.52490438555</v>
      </c>
      <c r="I31" s="34">
        <v>1785.78735657833</v>
      </c>
      <c r="J31" s="34">
        <v>2235.40076383505</v>
      </c>
      <c r="K31" s="34">
        <v>12.8250254080521</v>
      </c>
      <c r="L31" s="34">
        <v>77.972555077525</v>
      </c>
    </row>
    <row r="32" spans="1:12">
      <c r="A32" s="32" t="s">
        <v>302</v>
      </c>
      <c r="B32" s="32">
        <v>8192</v>
      </c>
      <c r="C32" s="32">
        <v>16384</v>
      </c>
      <c r="D32" s="32">
        <v>32</v>
      </c>
      <c r="E32" s="32">
        <v>64</v>
      </c>
      <c r="F32" s="33">
        <v>0.0412663165141184</v>
      </c>
      <c r="G32" s="34">
        <v>338.053664883658</v>
      </c>
      <c r="H32" s="34">
        <v>676.107329767316</v>
      </c>
      <c r="I32" s="34">
        <v>1014.16099465097</v>
      </c>
      <c r="J32" s="34">
        <v>3705.25328582152</v>
      </c>
      <c r="K32" s="34">
        <v>44.2728140245342</v>
      </c>
      <c r="L32" s="34">
        <v>22.5872247344802</v>
      </c>
    </row>
    <row r="33" spans="1:12">
      <c r="A33" s="32" t="s">
        <v>303</v>
      </c>
      <c r="B33" s="32">
        <v>32768</v>
      </c>
      <c r="C33" s="32">
        <v>1024</v>
      </c>
      <c r="D33" s="32">
        <v>1</v>
      </c>
      <c r="E33" s="32">
        <v>32</v>
      </c>
      <c r="F33" s="33">
        <v>0.0854313560479222</v>
      </c>
      <c r="G33" s="34">
        <v>2799.41467497831</v>
      </c>
      <c r="H33" s="34">
        <v>87.4817085930723</v>
      </c>
      <c r="I33" s="34">
        <v>2886.89638357138</v>
      </c>
      <c r="J33" s="34">
        <v>2105.21885138587</v>
      </c>
      <c r="K33" s="34">
        <v>9.38278380780274</v>
      </c>
      <c r="L33" s="34">
        <v>106.578177701206</v>
      </c>
    </row>
    <row r="34" spans="1:12">
      <c r="A34" s="32" t="s">
        <v>31</v>
      </c>
      <c r="B34" s="32">
        <v>32768</v>
      </c>
      <c r="C34" s="32">
        <v>1024</v>
      </c>
      <c r="D34" s="32">
        <v>2</v>
      </c>
      <c r="E34" s="32">
        <v>32</v>
      </c>
      <c r="F34" s="33">
        <v>0.138568301460284</v>
      </c>
      <c r="G34" s="34">
        <v>4540.60610225059</v>
      </c>
      <c r="H34" s="34">
        <v>141.893940695331</v>
      </c>
      <c r="I34" s="34">
        <v>4682.50004294592</v>
      </c>
      <c r="J34" s="34">
        <v>2361.00680532399</v>
      </c>
      <c r="K34" s="34">
        <v>11.7183687402904</v>
      </c>
      <c r="L34" s="34">
        <v>85.3361096721402</v>
      </c>
    </row>
    <row r="35" spans="1:12">
      <c r="A35" s="32" t="s">
        <v>32</v>
      </c>
      <c r="B35" s="32">
        <v>32768</v>
      </c>
      <c r="C35" s="32">
        <v>1024</v>
      </c>
      <c r="D35" s="32">
        <v>4</v>
      </c>
      <c r="E35" s="32">
        <v>32</v>
      </c>
      <c r="F35" s="33">
        <v>0.266110599952335</v>
      </c>
      <c r="G35" s="34">
        <v>8719.91213923814</v>
      </c>
      <c r="H35" s="34">
        <v>272.497254351191</v>
      </c>
      <c r="I35" s="34">
        <v>8992.40939358933</v>
      </c>
      <c r="J35" s="34">
        <v>1711.22558991191</v>
      </c>
      <c r="K35" s="34">
        <v>12.9038245287704</v>
      </c>
      <c r="L35" s="34">
        <v>77.4964040909265</v>
      </c>
    </row>
    <row r="36" spans="1:12">
      <c r="A36" s="32" t="s">
        <v>33</v>
      </c>
      <c r="B36" s="32">
        <v>32768</v>
      </c>
      <c r="C36" s="32">
        <v>1024</v>
      </c>
      <c r="D36" s="32">
        <v>8</v>
      </c>
      <c r="E36" s="32">
        <v>32</v>
      </c>
      <c r="F36" s="33">
        <v>0.387845352016973</v>
      </c>
      <c r="G36" s="34">
        <v>12708.9164948921</v>
      </c>
      <c r="H36" s="34">
        <v>397.15364046538</v>
      </c>
      <c r="I36" s="34">
        <v>13106.0701353575</v>
      </c>
      <c r="J36" s="34">
        <v>3444.09227548749</v>
      </c>
      <c r="K36" s="34">
        <v>16.2663367611008</v>
      </c>
      <c r="L36" s="34">
        <v>61.4766566490492</v>
      </c>
    </row>
    <row r="37" ht="16.5" customHeight="1" spans="1:12">
      <c r="A37" s="32" t="s">
        <v>34</v>
      </c>
      <c r="B37" s="32">
        <v>32768</v>
      </c>
      <c r="C37" s="32">
        <v>1024</v>
      </c>
      <c r="D37" s="32">
        <v>16</v>
      </c>
      <c r="E37" s="32">
        <v>64</v>
      </c>
      <c r="F37" s="33">
        <v>0.396415267593013</v>
      </c>
      <c r="G37" s="34">
        <v>12989.7354884878</v>
      </c>
      <c r="H37" s="34">
        <v>405.929234015245</v>
      </c>
      <c r="I37" s="34">
        <v>13395.664722503</v>
      </c>
      <c r="J37" s="34">
        <v>5843.28581934823</v>
      </c>
      <c r="K37" s="34">
        <v>32.5018965079088</v>
      </c>
      <c r="L37" s="34">
        <v>30.7674353635538</v>
      </c>
    </row>
    <row r="38" spans="1:12">
      <c r="A38" s="32" t="s">
        <v>35</v>
      </c>
      <c r="B38" s="32">
        <v>32768</v>
      </c>
      <c r="C38" s="32">
        <v>1024</v>
      </c>
      <c r="D38" s="32">
        <v>32</v>
      </c>
      <c r="E38" s="32">
        <v>128</v>
      </c>
      <c r="F38" s="33">
        <v>0.426928320546519</v>
      </c>
      <c r="G38" s="34">
        <v>13989.5872076683</v>
      </c>
      <c r="H38" s="34">
        <v>437.174600239635</v>
      </c>
      <c r="I38" s="34">
        <v>14426.7618079079</v>
      </c>
      <c r="J38" s="34">
        <v>11547.5413742497</v>
      </c>
      <c r="K38" s="34">
        <v>60.7399127160852</v>
      </c>
      <c r="L38" s="34">
        <v>16.4636390683383</v>
      </c>
    </row>
    <row r="39" spans="1:12">
      <c r="A39" s="32" t="s">
        <v>36</v>
      </c>
      <c r="B39" s="32">
        <v>32768</v>
      </c>
      <c r="C39" s="32">
        <v>1024</v>
      </c>
      <c r="D39" s="32">
        <v>64</v>
      </c>
      <c r="E39" s="32">
        <v>256</v>
      </c>
      <c r="F39" s="33">
        <v>0.268368671374398</v>
      </c>
      <c r="G39" s="34">
        <v>8793.90462359628</v>
      </c>
      <c r="H39" s="34">
        <v>274.809519487383</v>
      </c>
      <c r="I39" s="34">
        <v>9068.71414308366</v>
      </c>
      <c r="J39" s="34">
        <v>105821.876457752</v>
      </c>
      <c r="K39" s="34">
        <v>121.999309322174</v>
      </c>
      <c r="L39" s="34">
        <v>8.19676771578448</v>
      </c>
    </row>
    <row r="40" spans="1:12">
      <c r="A40" s="32" t="s">
        <v>304</v>
      </c>
      <c r="B40" s="32">
        <v>32768</v>
      </c>
      <c r="C40" s="32">
        <v>16384</v>
      </c>
      <c r="D40" s="32">
        <v>1</v>
      </c>
      <c r="E40" s="32">
        <v>4</v>
      </c>
      <c r="F40" s="33">
        <v>0.00653428185781114</v>
      </c>
      <c r="G40" s="34">
        <v>214.115347916755</v>
      </c>
      <c r="H40" s="34">
        <v>107.057673958377</v>
      </c>
      <c r="I40" s="34">
        <v>321.173021875133</v>
      </c>
      <c r="J40" s="34">
        <v>1350.250759162</v>
      </c>
      <c r="K40" s="34">
        <v>9.25863145497352</v>
      </c>
      <c r="L40" s="34">
        <v>108.007323205723</v>
      </c>
    </row>
    <row r="41" spans="1:12">
      <c r="A41" s="32" t="s">
        <v>305</v>
      </c>
      <c r="B41" s="32">
        <v>32768</v>
      </c>
      <c r="C41" s="32">
        <v>16384</v>
      </c>
      <c r="D41" s="32">
        <v>2</v>
      </c>
      <c r="E41" s="32">
        <v>8</v>
      </c>
      <c r="F41" s="33">
        <v>0.0124070265178698</v>
      </c>
      <c r="G41" s="34">
        <v>406.55344493756</v>
      </c>
      <c r="H41" s="34">
        <v>203.27672246878</v>
      </c>
      <c r="I41" s="34">
        <v>609.830167406341</v>
      </c>
      <c r="J41" s="34">
        <v>925.512212270405</v>
      </c>
      <c r="K41" s="34">
        <v>9.65878033475188</v>
      </c>
      <c r="L41" s="34">
        <v>103.532740712825</v>
      </c>
    </row>
    <row r="42" spans="1:12">
      <c r="A42" s="32" t="s">
        <v>306</v>
      </c>
      <c r="B42" s="32">
        <v>32768</v>
      </c>
      <c r="C42" s="32">
        <v>16384</v>
      </c>
      <c r="D42" s="32">
        <v>4</v>
      </c>
      <c r="E42" s="32">
        <v>16</v>
      </c>
      <c r="F42" s="33">
        <v>0.0231665318478785</v>
      </c>
      <c r="G42" s="34">
        <v>759.120915591284</v>
      </c>
      <c r="H42" s="34">
        <v>379.560457795642</v>
      </c>
      <c r="I42" s="34">
        <v>1138.68137338692</v>
      </c>
      <c r="J42" s="34">
        <v>1216.09089171397</v>
      </c>
      <c r="K42" s="34">
        <v>10.2485301170451</v>
      </c>
      <c r="L42" s="34">
        <v>97.5749681739067</v>
      </c>
    </row>
    <row r="43" spans="1:12">
      <c r="A43" s="32" t="s">
        <v>307</v>
      </c>
      <c r="B43" s="32">
        <v>32768</v>
      </c>
      <c r="C43" s="32">
        <v>16384</v>
      </c>
      <c r="D43" s="32">
        <v>8</v>
      </c>
      <c r="E43" s="32">
        <v>16</v>
      </c>
      <c r="F43" s="33">
        <v>0.0409989143242994</v>
      </c>
      <c r="G43" s="34">
        <v>1343.45242457864</v>
      </c>
      <c r="H43" s="34">
        <v>671.726212289322</v>
      </c>
      <c r="I43" s="34">
        <v>2015.17863686796</v>
      </c>
      <c r="J43" s="34">
        <v>4297.665475955</v>
      </c>
      <c r="K43" s="34">
        <v>11.2458846175286</v>
      </c>
      <c r="L43" s="34">
        <v>88.9214173904409</v>
      </c>
    </row>
    <row r="44" spans="1:12">
      <c r="A44" s="32" t="s">
        <v>308</v>
      </c>
      <c r="B44" s="32">
        <v>32768</v>
      </c>
      <c r="C44" s="32">
        <v>16384</v>
      </c>
      <c r="D44" s="32">
        <v>16</v>
      </c>
      <c r="E44" s="32">
        <v>32</v>
      </c>
      <c r="F44" s="33">
        <v>0.060583123545051</v>
      </c>
      <c r="G44" s="34">
        <v>1985.18779232423</v>
      </c>
      <c r="H44" s="34">
        <v>992.593896162116</v>
      </c>
      <c r="I44" s="34">
        <v>2977.78168848634</v>
      </c>
      <c r="J44" s="34">
        <v>7376.34155157138</v>
      </c>
      <c r="K44" s="34">
        <v>15.3906108767634</v>
      </c>
      <c r="L44" s="34">
        <v>64.974678913479</v>
      </c>
    </row>
    <row r="45" spans="1:12">
      <c r="A45" s="32" t="s">
        <v>309</v>
      </c>
      <c r="B45" s="32">
        <v>32768</v>
      </c>
      <c r="C45" s="32">
        <v>16384</v>
      </c>
      <c r="D45" s="32">
        <v>32</v>
      </c>
      <c r="E45" s="32">
        <v>64</v>
      </c>
      <c r="F45" s="33">
        <v>0.0354101054290338</v>
      </c>
      <c r="G45" s="34">
        <v>1160.31833469858</v>
      </c>
      <c r="H45" s="34">
        <v>580.15916734929</v>
      </c>
      <c r="I45" s="34">
        <v>1740.47750204787</v>
      </c>
      <c r="J45" s="34">
        <v>25221.3986286587</v>
      </c>
      <c r="K45" s="34">
        <v>49.8479942743194</v>
      </c>
      <c r="L45" s="34">
        <v>20.0609876998638</v>
      </c>
    </row>
    <row r="46" spans="1:12">
      <c r="A46" s="9" t="s">
        <v>310</v>
      </c>
      <c r="B46" s="9">
        <v>65536</v>
      </c>
      <c r="C46" s="9">
        <v>1024</v>
      </c>
      <c r="D46" s="9">
        <v>1</v>
      </c>
      <c r="E46" s="9">
        <v>16</v>
      </c>
      <c r="F46" s="9">
        <v>0.084</v>
      </c>
      <c r="G46" s="9">
        <v>5517.54</v>
      </c>
      <c r="H46" s="9">
        <v>86.21</v>
      </c>
      <c r="I46" s="9">
        <v>5603.76</v>
      </c>
      <c r="J46" s="9">
        <v>1945.33</v>
      </c>
      <c r="K46" s="9">
        <v>9.71</v>
      </c>
      <c r="L46" s="9">
        <v>103.02</v>
      </c>
    </row>
    <row r="47" ht="16.5" customHeight="1" spans="1:12">
      <c r="A47" s="9" t="s">
        <v>311</v>
      </c>
      <c r="B47" s="9">
        <v>65536</v>
      </c>
      <c r="C47" s="9">
        <v>1024</v>
      </c>
      <c r="D47" s="9">
        <v>2</v>
      </c>
      <c r="E47" s="9">
        <v>16</v>
      </c>
      <c r="F47" s="9">
        <v>0.182</v>
      </c>
      <c r="G47" s="9">
        <v>11936.62</v>
      </c>
      <c r="H47" s="9">
        <v>186.51</v>
      </c>
      <c r="I47" s="9">
        <v>12123.13</v>
      </c>
      <c r="J47" s="9">
        <v>453.94</v>
      </c>
      <c r="K47" s="9">
        <v>10.26</v>
      </c>
      <c r="L47" s="9">
        <v>97.47</v>
      </c>
    </row>
    <row r="48" spans="1:12">
      <c r="A48" s="9" t="s">
        <v>312</v>
      </c>
      <c r="B48" s="9">
        <v>65536</v>
      </c>
      <c r="C48" s="9">
        <v>1024</v>
      </c>
      <c r="D48" s="9">
        <v>4</v>
      </c>
      <c r="E48" s="9">
        <v>16</v>
      </c>
      <c r="F48" s="9">
        <v>0.33</v>
      </c>
      <c r="G48" s="9">
        <v>21654.72</v>
      </c>
      <c r="H48" s="9">
        <v>338.36</v>
      </c>
      <c r="I48" s="9">
        <v>21993.08</v>
      </c>
      <c r="J48" s="9">
        <v>513.69</v>
      </c>
      <c r="K48" s="9">
        <v>10.99</v>
      </c>
      <c r="L48" s="9">
        <v>90.96</v>
      </c>
    </row>
    <row r="49" spans="1:12">
      <c r="A49" s="9" t="s">
        <v>313</v>
      </c>
      <c r="B49" s="9">
        <v>65536</v>
      </c>
      <c r="C49" s="9">
        <v>1024</v>
      </c>
      <c r="D49" s="9">
        <v>8</v>
      </c>
      <c r="E49" s="9">
        <v>16</v>
      </c>
      <c r="F49" s="9">
        <v>0.58</v>
      </c>
      <c r="G49" s="9">
        <v>38022.18</v>
      </c>
      <c r="H49" s="9">
        <v>594.1</v>
      </c>
      <c r="I49" s="9">
        <v>38616.27</v>
      </c>
      <c r="J49" s="9">
        <v>828.04</v>
      </c>
      <c r="K49" s="9">
        <v>12.29</v>
      </c>
      <c r="L49" s="9">
        <v>81.38</v>
      </c>
    </row>
    <row r="50" spans="1:12">
      <c r="A50" s="9" t="s">
        <v>314</v>
      </c>
      <c r="B50" s="9">
        <v>65536</v>
      </c>
      <c r="C50" s="9">
        <v>1024</v>
      </c>
      <c r="D50" s="9">
        <v>16</v>
      </c>
      <c r="E50" s="9">
        <v>32</v>
      </c>
      <c r="F50" s="9">
        <v>0.313</v>
      </c>
      <c r="G50" s="9">
        <v>20538.01</v>
      </c>
      <c r="H50" s="9">
        <v>320.91</v>
      </c>
      <c r="I50" s="9">
        <v>20858.92</v>
      </c>
      <c r="J50" s="9">
        <v>5097</v>
      </c>
      <c r="K50" s="9">
        <v>43.36</v>
      </c>
      <c r="L50" s="9">
        <v>23.06</v>
      </c>
    </row>
    <row r="51" spans="1:12">
      <c r="A51" s="9" t="s">
        <v>315</v>
      </c>
      <c r="B51" s="9">
        <v>65536</v>
      </c>
      <c r="C51" s="9">
        <v>1024</v>
      </c>
      <c r="D51" s="9">
        <v>32</v>
      </c>
      <c r="E51" s="9">
        <v>64</v>
      </c>
      <c r="F51" s="9">
        <v>0.271</v>
      </c>
      <c r="G51" s="9">
        <v>17740.53</v>
      </c>
      <c r="H51" s="9">
        <v>277.2</v>
      </c>
      <c r="I51" s="9">
        <v>18017.72</v>
      </c>
      <c r="J51" s="9">
        <v>47997.22</v>
      </c>
      <c r="K51" s="9">
        <v>49.91</v>
      </c>
      <c r="L51" s="9">
        <v>20.03</v>
      </c>
    </row>
    <row r="52" spans="1:12">
      <c r="A52" s="9" t="s">
        <v>316</v>
      </c>
      <c r="B52" s="9">
        <v>65536</v>
      </c>
      <c r="C52" s="9">
        <v>1024</v>
      </c>
      <c r="D52" s="9">
        <v>64</v>
      </c>
      <c r="E52" s="9">
        <v>128</v>
      </c>
      <c r="F52" s="9">
        <v>0.192</v>
      </c>
      <c r="G52" s="9">
        <v>12607.41</v>
      </c>
      <c r="H52" s="9">
        <v>196.99</v>
      </c>
      <c r="I52" s="9">
        <v>12804.4</v>
      </c>
      <c r="J52" s="9">
        <v>211654.77</v>
      </c>
      <c r="K52" s="9">
        <v>64.19</v>
      </c>
      <c r="L52" s="9">
        <v>15.58</v>
      </c>
    </row>
    <row r="53" spans="1:12">
      <c r="A53" s="9" t="s">
        <v>317</v>
      </c>
      <c r="B53" s="9">
        <v>126976</v>
      </c>
      <c r="C53" s="9">
        <v>1024</v>
      </c>
      <c r="D53" s="9">
        <v>1</v>
      </c>
      <c r="E53" s="9">
        <v>8</v>
      </c>
      <c r="F53" s="9">
        <v>0.053</v>
      </c>
      <c r="G53" s="9">
        <v>6673.17</v>
      </c>
      <c r="H53" s="9">
        <v>53.82</v>
      </c>
      <c r="I53" s="9">
        <v>6726.99</v>
      </c>
      <c r="J53" s="9">
        <v>7724.33</v>
      </c>
      <c r="K53" s="9">
        <v>11.04</v>
      </c>
      <c r="L53" s="9">
        <v>90.54</v>
      </c>
    </row>
    <row r="54" spans="1:12">
      <c r="A54" s="9" t="s">
        <v>318</v>
      </c>
      <c r="B54" s="9">
        <v>126976</v>
      </c>
      <c r="C54" s="9">
        <v>1024</v>
      </c>
      <c r="D54" s="9">
        <v>2</v>
      </c>
      <c r="E54" s="9">
        <v>16</v>
      </c>
      <c r="F54" s="9">
        <v>0.084</v>
      </c>
      <c r="G54" s="9">
        <v>10629.68</v>
      </c>
      <c r="H54" s="9">
        <v>85.72</v>
      </c>
      <c r="I54" s="9">
        <v>10715.4</v>
      </c>
      <c r="J54" s="9">
        <v>7274.98</v>
      </c>
      <c r="K54" s="9">
        <v>16.08</v>
      </c>
      <c r="L54" s="9">
        <v>62.17</v>
      </c>
    </row>
    <row r="55" spans="1:12">
      <c r="A55" s="9" t="s">
        <v>319</v>
      </c>
      <c r="B55" s="9">
        <v>126976</v>
      </c>
      <c r="C55" s="9">
        <v>1024</v>
      </c>
      <c r="D55" s="9">
        <v>4</v>
      </c>
      <c r="E55" s="9">
        <v>16</v>
      </c>
      <c r="F55" s="9">
        <v>0.111</v>
      </c>
      <c r="G55" s="9">
        <v>14111.75</v>
      </c>
      <c r="H55" s="9">
        <v>113.8</v>
      </c>
      <c r="I55" s="9">
        <v>14225.55</v>
      </c>
      <c r="J55" s="9">
        <v>9473.15</v>
      </c>
      <c r="K55" s="9">
        <v>25.62</v>
      </c>
      <c r="L55" s="9">
        <v>39.04</v>
      </c>
    </row>
    <row r="56" ht="16.5" customHeight="1" spans="1:12">
      <c r="A56" s="9" t="s">
        <v>320</v>
      </c>
      <c r="B56" s="9">
        <v>126976</v>
      </c>
      <c r="C56" s="9">
        <v>1024</v>
      </c>
      <c r="D56" s="9">
        <v>8</v>
      </c>
      <c r="E56" s="9">
        <v>16</v>
      </c>
      <c r="F56" s="9">
        <v>0.128</v>
      </c>
      <c r="G56" s="9">
        <v>16298.83</v>
      </c>
      <c r="H56" s="9">
        <v>131.44</v>
      </c>
      <c r="I56" s="9">
        <v>16430.27</v>
      </c>
      <c r="J56" s="9">
        <v>21019.11</v>
      </c>
      <c r="K56" s="9">
        <v>39.92</v>
      </c>
      <c r="L56" s="9">
        <v>25.05</v>
      </c>
    </row>
    <row r="57" spans="1:12">
      <c r="A57" s="9" t="s">
        <v>321</v>
      </c>
      <c r="B57" s="9">
        <v>126976</v>
      </c>
      <c r="C57" s="9">
        <v>1024</v>
      </c>
      <c r="D57" s="9">
        <v>16</v>
      </c>
      <c r="E57" s="9">
        <v>32</v>
      </c>
      <c r="F57" s="9">
        <v>0.105</v>
      </c>
      <c r="G57" s="9">
        <v>13385</v>
      </c>
      <c r="H57" s="9">
        <v>107.94</v>
      </c>
      <c r="I57" s="9">
        <v>13492.95</v>
      </c>
      <c r="J57" s="9">
        <v>76670.18</v>
      </c>
      <c r="K57" s="9">
        <v>50.92</v>
      </c>
      <c r="L57" s="9">
        <v>19.64</v>
      </c>
    </row>
    <row r="58" spans="1:12">
      <c r="A58" s="9" t="s">
        <v>322</v>
      </c>
      <c r="B58" s="9">
        <v>126976</v>
      </c>
      <c r="C58" s="9">
        <v>1024</v>
      </c>
      <c r="D58" s="9">
        <v>32</v>
      </c>
      <c r="E58" s="9">
        <v>64</v>
      </c>
      <c r="F58" s="9">
        <v>0.093</v>
      </c>
      <c r="G58" s="9">
        <v>11805.42</v>
      </c>
      <c r="H58" s="9">
        <v>95.21</v>
      </c>
      <c r="I58" s="9">
        <v>11900.63</v>
      </c>
      <c r="J58" s="9">
        <v>216684.68</v>
      </c>
      <c r="K58" s="9">
        <v>62.95</v>
      </c>
      <c r="L58" s="9">
        <v>15.89</v>
      </c>
    </row>
    <row r="65" ht="16.5" customHeight="1"/>
    <row r="75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L58" etc:filterBottomFollowUsedRange="0">
    <extLst/>
  </autoFilter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2"/>
  <sheetViews>
    <sheetView workbookViewId="0">
      <selection activeCell="A1" sqref="A1:K1"/>
    </sheetView>
  </sheetViews>
  <sheetFormatPr defaultColWidth="9" defaultRowHeight="13.5"/>
  <cols>
    <col min="1" max="1" width="22.875" style="23" customWidth="1"/>
    <col min="2" max="10" width="9" style="23"/>
    <col min="11" max="11" width="9.375" style="23"/>
    <col min="12" max="16384" width="9" style="23"/>
  </cols>
  <sheetData>
    <row r="1" ht="15" customHeight="1" spans="1:11">
      <c r="A1" s="24" t="s">
        <v>323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Height="1" spans="1:11">
      <c r="A2" s="25" t="s">
        <v>324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customHeight="1" spans="1:11">
      <c r="A3" s="26" t="s">
        <v>325</v>
      </c>
      <c r="B3" s="26"/>
      <c r="C3" s="26"/>
      <c r="D3" s="26"/>
      <c r="E3" s="26"/>
      <c r="F3" s="26"/>
      <c r="G3" s="26"/>
      <c r="H3" s="26"/>
      <c r="I3" s="26"/>
      <c r="J3" s="26"/>
      <c r="K3" s="26"/>
    </row>
    <row r="4" spans="1:11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</row>
    <row r="5" spans="1:11">
      <c r="A5" s="27" t="s">
        <v>326</v>
      </c>
      <c r="B5" s="27" t="s">
        <v>327</v>
      </c>
      <c r="C5" s="27" t="s">
        <v>328</v>
      </c>
      <c r="D5" s="27" t="s">
        <v>95</v>
      </c>
      <c r="E5" s="27" t="s">
        <v>4</v>
      </c>
      <c r="F5" s="27" t="s">
        <v>329</v>
      </c>
      <c r="G5" s="27" t="s">
        <v>330</v>
      </c>
      <c r="H5" s="27" t="s">
        <v>331</v>
      </c>
      <c r="I5" s="27" t="s">
        <v>100</v>
      </c>
      <c r="J5" s="27" t="s">
        <v>101</v>
      </c>
      <c r="K5" s="27" t="s">
        <v>332</v>
      </c>
    </row>
    <row r="6" spans="1:11">
      <c r="A6" s="27" t="s">
        <v>333</v>
      </c>
      <c r="B6" s="25"/>
      <c r="C6" s="25"/>
      <c r="D6" s="25"/>
      <c r="E6" s="25"/>
      <c r="F6" s="25"/>
      <c r="G6" s="25"/>
      <c r="H6" s="25"/>
      <c r="I6" s="25"/>
      <c r="J6" s="25"/>
      <c r="K6" s="25"/>
    </row>
    <row r="7" spans="1:11">
      <c r="A7" s="25" t="s">
        <v>103</v>
      </c>
      <c r="B7" s="25">
        <v>1024</v>
      </c>
      <c r="C7" s="25">
        <v>1024</v>
      </c>
      <c r="D7" s="25">
        <v>1</v>
      </c>
      <c r="E7" s="25">
        <v>32</v>
      </c>
      <c r="F7" s="25">
        <v>0.11</v>
      </c>
      <c r="G7" s="25">
        <v>108.33</v>
      </c>
      <c r="H7" s="25">
        <v>216.67</v>
      </c>
      <c r="I7" s="25">
        <v>158</v>
      </c>
      <c r="J7" s="25">
        <v>9.09</v>
      </c>
      <c r="K7" s="25">
        <v>110.011</v>
      </c>
    </row>
    <row r="8" spans="1:11">
      <c r="A8" s="25" t="s">
        <v>104</v>
      </c>
      <c r="B8" s="25">
        <v>1024</v>
      </c>
      <c r="C8" s="25">
        <v>1024</v>
      </c>
      <c r="D8" s="25">
        <v>2</v>
      </c>
      <c r="E8" s="25">
        <v>32</v>
      </c>
      <c r="F8" s="25">
        <v>0.12</v>
      </c>
      <c r="G8" s="25">
        <v>125.3</v>
      </c>
      <c r="H8" s="25">
        <v>250.7</v>
      </c>
      <c r="I8" s="25">
        <v>198</v>
      </c>
      <c r="J8" s="25">
        <v>15.78</v>
      </c>
      <c r="K8" s="25">
        <v>63.3714</v>
      </c>
    </row>
    <row r="9" spans="1:11">
      <c r="A9" s="25" t="s">
        <v>105</v>
      </c>
      <c r="B9" s="25">
        <v>1024</v>
      </c>
      <c r="C9" s="25">
        <v>1024</v>
      </c>
      <c r="D9" s="25">
        <v>4</v>
      </c>
      <c r="E9" s="25">
        <v>32</v>
      </c>
      <c r="F9" s="25">
        <v>0.23</v>
      </c>
      <c r="G9" s="25">
        <v>235.4</v>
      </c>
      <c r="H9" s="25">
        <v>470.9</v>
      </c>
      <c r="I9" s="25">
        <v>273</v>
      </c>
      <c r="J9" s="25">
        <v>16.74</v>
      </c>
      <c r="K9" s="25">
        <v>59.7372</v>
      </c>
    </row>
    <row r="10" spans="1:11">
      <c r="A10" s="25" t="s">
        <v>106</v>
      </c>
      <c r="B10" s="25">
        <v>1024</v>
      </c>
      <c r="C10" s="25">
        <v>1024</v>
      </c>
      <c r="D10" s="25">
        <v>8</v>
      </c>
      <c r="E10" s="25">
        <v>32</v>
      </c>
      <c r="F10" s="25">
        <v>0.39</v>
      </c>
      <c r="G10" s="25">
        <v>399.6</v>
      </c>
      <c r="H10" s="25">
        <v>799.3</v>
      </c>
      <c r="I10" s="25">
        <v>500</v>
      </c>
      <c r="J10" s="25">
        <v>19.55</v>
      </c>
      <c r="K10" s="25">
        <v>51.1509</v>
      </c>
    </row>
    <row r="11" spans="1:11">
      <c r="A11" s="25" t="s">
        <v>107</v>
      </c>
      <c r="B11" s="25">
        <v>1024</v>
      </c>
      <c r="C11" s="25">
        <v>1024</v>
      </c>
      <c r="D11" s="25">
        <v>16</v>
      </c>
      <c r="E11" s="25">
        <v>64</v>
      </c>
      <c r="F11" s="25">
        <v>0.66</v>
      </c>
      <c r="G11" s="25">
        <v>677.4</v>
      </c>
      <c r="H11" s="25">
        <v>1354.8</v>
      </c>
      <c r="I11" s="25">
        <v>921</v>
      </c>
      <c r="J11" s="25">
        <v>22.74</v>
      </c>
      <c r="K11" s="25">
        <v>43.9754</v>
      </c>
    </row>
    <row r="12" spans="1:11">
      <c r="A12" s="25" t="s">
        <v>108</v>
      </c>
      <c r="B12" s="25">
        <v>1024</v>
      </c>
      <c r="C12" s="25">
        <v>1024</v>
      </c>
      <c r="D12" s="25">
        <v>32</v>
      </c>
      <c r="E12" s="25">
        <v>128</v>
      </c>
      <c r="F12" s="25">
        <v>1.1</v>
      </c>
      <c r="G12" s="25">
        <v>1121.3</v>
      </c>
      <c r="H12" s="25">
        <v>2242.7</v>
      </c>
      <c r="I12" s="25">
        <v>1899</v>
      </c>
      <c r="J12" s="25">
        <v>26.7</v>
      </c>
      <c r="K12" s="25">
        <v>37.4532</v>
      </c>
    </row>
    <row r="13" spans="1:11">
      <c r="A13" s="25" t="s">
        <v>109</v>
      </c>
      <c r="B13" s="25">
        <v>1024</v>
      </c>
      <c r="C13" s="25">
        <v>1024</v>
      </c>
      <c r="D13" s="25">
        <v>64</v>
      </c>
      <c r="E13" s="25">
        <v>256</v>
      </c>
      <c r="F13" s="25">
        <v>1.43</v>
      </c>
      <c r="G13" s="25">
        <v>1465.1</v>
      </c>
      <c r="H13" s="25">
        <v>2930.2</v>
      </c>
      <c r="I13" s="25">
        <v>3838</v>
      </c>
      <c r="J13" s="25">
        <v>39.96</v>
      </c>
      <c r="K13" s="25">
        <v>25.025</v>
      </c>
    </row>
    <row r="14" spans="1:11">
      <c r="A14" s="25" t="s">
        <v>110</v>
      </c>
      <c r="B14" s="25">
        <v>1024</v>
      </c>
      <c r="C14" s="25">
        <v>1024</v>
      </c>
      <c r="D14" s="25">
        <v>128</v>
      </c>
      <c r="E14" s="25">
        <v>512</v>
      </c>
      <c r="F14" s="25">
        <v>1.5</v>
      </c>
      <c r="G14" s="25">
        <v>1535.8</v>
      </c>
      <c r="H14" s="25">
        <v>3071.5</v>
      </c>
      <c r="I14" s="25">
        <v>39226</v>
      </c>
      <c r="J14" s="25">
        <v>39.98</v>
      </c>
      <c r="K14" s="25">
        <v>25.0125</v>
      </c>
    </row>
    <row r="15" spans="1:11">
      <c r="A15" s="25" t="s">
        <v>111</v>
      </c>
      <c r="B15" s="25">
        <v>1024</v>
      </c>
      <c r="C15" s="25">
        <v>1024</v>
      </c>
      <c r="D15" s="25">
        <v>256</v>
      </c>
      <c r="E15" s="25">
        <v>1024</v>
      </c>
      <c r="F15" s="25">
        <v>1.44</v>
      </c>
      <c r="G15" s="25">
        <v>1473.3</v>
      </c>
      <c r="H15" s="25">
        <v>2946.7</v>
      </c>
      <c r="I15" s="25">
        <v>123916</v>
      </c>
      <c r="J15" s="25">
        <v>38.9</v>
      </c>
      <c r="K15" s="25">
        <v>25.7069</v>
      </c>
    </row>
    <row r="16" spans="1:11">
      <c r="A16" s="25" t="s">
        <v>112</v>
      </c>
      <c r="B16" s="25">
        <v>1024</v>
      </c>
      <c r="C16" s="25">
        <v>1024</v>
      </c>
      <c r="D16" s="25">
        <v>512</v>
      </c>
      <c r="E16" s="25">
        <v>2048</v>
      </c>
      <c r="F16" s="25">
        <v>1.53</v>
      </c>
      <c r="G16" s="25">
        <v>1571.1</v>
      </c>
      <c r="H16" s="25">
        <v>3142.3</v>
      </c>
      <c r="I16" s="25">
        <v>259747</v>
      </c>
      <c r="J16" s="25">
        <v>33.65</v>
      </c>
      <c r="K16" s="25">
        <v>29.7177</v>
      </c>
    </row>
    <row r="17" spans="1:11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</row>
    <row r="18" spans="1:11">
      <c r="A18" s="27" t="s">
        <v>334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</row>
    <row r="19" spans="1:11">
      <c r="A19" s="25" t="s">
        <v>114</v>
      </c>
      <c r="B19" s="25">
        <v>8192</v>
      </c>
      <c r="C19" s="25">
        <v>1024</v>
      </c>
      <c r="D19" s="25">
        <v>1</v>
      </c>
      <c r="E19" s="25">
        <v>32</v>
      </c>
      <c r="F19" s="25">
        <v>0.1</v>
      </c>
      <c r="G19" s="25">
        <v>104.35</v>
      </c>
      <c r="H19" s="25">
        <v>939.12</v>
      </c>
      <c r="I19" s="25">
        <v>640</v>
      </c>
      <c r="J19" s="25">
        <v>8.97</v>
      </c>
      <c r="K19" s="25">
        <v>111.4827</v>
      </c>
    </row>
    <row r="20" spans="1:11">
      <c r="A20" s="25" t="s">
        <v>115</v>
      </c>
      <c r="B20" s="25">
        <v>8192</v>
      </c>
      <c r="C20" s="25">
        <v>1024</v>
      </c>
      <c r="D20" s="25">
        <v>2</v>
      </c>
      <c r="E20" s="25">
        <v>32</v>
      </c>
      <c r="F20" s="25">
        <v>0.11</v>
      </c>
      <c r="G20" s="25">
        <v>117.5</v>
      </c>
      <c r="H20" s="25">
        <v>1057.8</v>
      </c>
      <c r="I20" s="25">
        <v>1019</v>
      </c>
      <c r="J20" s="25">
        <v>16.04</v>
      </c>
      <c r="K20" s="25">
        <v>62.3441</v>
      </c>
    </row>
    <row r="21" spans="1:11">
      <c r="A21" s="25" t="s">
        <v>116</v>
      </c>
      <c r="B21" s="25">
        <v>8192</v>
      </c>
      <c r="C21" s="25">
        <v>1024</v>
      </c>
      <c r="D21" s="25">
        <v>4</v>
      </c>
      <c r="E21" s="25">
        <v>32</v>
      </c>
      <c r="F21" s="25">
        <v>0.21</v>
      </c>
      <c r="G21" s="25">
        <v>210.9</v>
      </c>
      <c r="H21" s="25">
        <v>1897.8</v>
      </c>
      <c r="I21" s="25">
        <v>1825</v>
      </c>
      <c r="J21" s="25">
        <v>17.2</v>
      </c>
      <c r="K21" s="25">
        <v>58.1395</v>
      </c>
    </row>
    <row r="22" spans="1:11">
      <c r="A22" s="25" t="s">
        <v>117</v>
      </c>
      <c r="B22" s="25">
        <v>8192</v>
      </c>
      <c r="C22" s="25">
        <v>1024</v>
      </c>
      <c r="D22" s="25">
        <v>8</v>
      </c>
      <c r="E22" s="25">
        <v>32</v>
      </c>
      <c r="F22" s="25">
        <v>0.33</v>
      </c>
      <c r="G22" s="25">
        <v>336.3</v>
      </c>
      <c r="H22" s="25">
        <v>3026.3</v>
      </c>
      <c r="I22" s="25">
        <v>3729</v>
      </c>
      <c r="J22" s="25">
        <v>20.17</v>
      </c>
      <c r="K22" s="25">
        <v>49.5786</v>
      </c>
    </row>
    <row r="23" spans="1:11">
      <c r="A23" s="25" t="s">
        <v>118</v>
      </c>
      <c r="B23" s="25">
        <v>8192</v>
      </c>
      <c r="C23" s="25">
        <v>1024</v>
      </c>
      <c r="D23" s="25">
        <v>16</v>
      </c>
      <c r="E23" s="25">
        <v>64</v>
      </c>
      <c r="F23" s="25">
        <v>0.5</v>
      </c>
      <c r="G23" s="25">
        <v>517.1</v>
      </c>
      <c r="H23" s="25">
        <v>4653.7</v>
      </c>
      <c r="I23" s="25">
        <v>6126</v>
      </c>
      <c r="J23" s="25">
        <v>24.98</v>
      </c>
      <c r="K23" s="25">
        <v>40.032</v>
      </c>
    </row>
    <row r="24" spans="1:11">
      <c r="A24" s="25" t="s">
        <v>119</v>
      </c>
      <c r="B24" s="25">
        <v>8192</v>
      </c>
      <c r="C24" s="25">
        <v>1024</v>
      </c>
      <c r="D24" s="25">
        <v>32</v>
      </c>
      <c r="E24" s="25">
        <v>128</v>
      </c>
      <c r="F24" s="25">
        <v>0.53</v>
      </c>
      <c r="G24" s="25">
        <v>546.8</v>
      </c>
      <c r="H24" s="25">
        <v>4921.3</v>
      </c>
      <c r="I24" s="25">
        <v>18505</v>
      </c>
      <c r="J24" s="25">
        <v>39.56</v>
      </c>
      <c r="K24" s="25">
        <v>25.2781</v>
      </c>
    </row>
    <row r="25" spans="1:11">
      <c r="A25" s="25" t="s">
        <v>120</v>
      </c>
      <c r="B25" s="25">
        <v>8192</v>
      </c>
      <c r="C25" s="25">
        <v>1024</v>
      </c>
      <c r="D25" s="25">
        <v>64</v>
      </c>
      <c r="E25" s="25">
        <v>256</v>
      </c>
      <c r="F25" s="25">
        <v>0.73</v>
      </c>
      <c r="G25" s="25">
        <v>744.7</v>
      </c>
      <c r="H25" s="25">
        <v>6702.5</v>
      </c>
      <c r="I25" s="25">
        <v>23781</v>
      </c>
      <c r="J25" s="25">
        <v>53.74</v>
      </c>
      <c r="K25" s="25">
        <v>18.6081</v>
      </c>
    </row>
    <row r="26" spans="1:11">
      <c r="A26" s="25" t="s">
        <v>121</v>
      </c>
      <c r="B26" s="25">
        <v>8192</v>
      </c>
      <c r="C26" s="25">
        <v>1024</v>
      </c>
      <c r="D26" s="25">
        <v>128</v>
      </c>
      <c r="E26" s="25">
        <v>512</v>
      </c>
      <c r="F26" s="25">
        <v>0.94</v>
      </c>
      <c r="G26" s="25">
        <v>966.4</v>
      </c>
      <c r="H26" s="25">
        <v>8697.5</v>
      </c>
      <c r="I26" s="25">
        <v>71424</v>
      </c>
      <c r="J26" s="25">
        <v>54.56</v>
      </c>
      <c r="K26" s="25">
        <v>18.3284</v>
      </c>
    </row>
    <row r="27" spans="1:11">
      <c r="A27" s="25" t="s">
        <v>122</v>
      </c>
      <c r="B27" s="25">
        <v>8192</v>
      </c>
      <c r="C27" s="25">
        <v>1024</v>
      </c>
      <c r="D27" s="25">
        <v>256</v>
      </c>
      <c r="E27" s="25">
        <v>1024</v>
      </c>
      <c r="F27" s="25">
        <v>0.95</v>
      </c>
      <c r="G27" s="25">
        <v>974.1</v>
      </c>
      <c r="H27" s="25">
        <v>8767.1</v>
      </c>
      <c r="I27" s="25">
        <v>188393</v>
      </c>
      <c r="J27" s="25">
        <v>54.2</v>
      </c>
      <c r="K27" s="25">
        <v>18.4502</v>
      </c>
    </row>
    <row r="28" spans="1:1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</row>
    <row r="29" spans="1:11">
      <c r="A29" s="27" t="s">
        <v>335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</row>
    <row r="30" spans="1:11">
      <c r="A30" s="25" t="s">
        <v>125</v>
      </c>
      <c r="B30" s="25">
        <v>32768</v>
      </c>
      <c r="C30" s="25">
        <v>1024</v>
      </c>
      <c r="D30" s="25">
        <v>2</v>
      </c>
      <c r="E30" s="25">
        <v>32</v>
      </c>
      <c r="F30" s="25">
        <v>0.09</v>
      </c>
      <c r="G30" s="25">
        <v>95.8</v>
      </c>
      <c r="H30" s="25">
        <v>3160</v>
      </c>
      <c r="I30" s="25">
        <v>4635</v>
      </c>
      <c r="J30" s="25">
        <v>16.37</v>
      </c>
      <c r="K30" s="25">
        <v>61.0874</v>
      </c>
    </row>
    <row r="31" spans="1:11">
      <c r="A31" s="25" t="s">
        <v>126</v>
      </c>
      <c r="B31" s="25">
        <v>32768</v>
      </c>
      <c r="C31" s="25">
        <v>1024</v>
      </c>
      <c r="D31" s="25">
        <v>4</v>
      </c>
      <c r="E31" s="25">
        <v>32</v>
      </c>
      <c r="F31" s="25">
        <v>0.15</v>
      </c>
      <c r="G31" s="25">
        <v>151.3</v>
      </c>
      <c r="H31" s="25">
        <v>4992.6</v>
      </c>
      <c r="I31" s="25">
        <v>7176</v>
      </c>
      <c r="J31" s="25">
        <v>19.45</v>
      </c>
      <c r="K31" s="25">
        <v>51.4139</v>
      </c>
    </row>
    <row r="32" spans="1:11">
      <c r="A32" s="25" t="s">
        <v>127</v>
      </c>
      <c r="B32" s="25">
        <v>32768</v>
      </c>
      <c r="C32" s="25">
        <v>1024</v>
      </c>
      <c r="D32" s="25">
        <v>8</v>
      </c>
      <c r="E32" s="25">
        <v>32</v>
      </c>
      <c r="F32" s="25">
        <v>0.2</v>
      </c>
      <c r="G32" s="25">
        <v>207.6</v>
      </c>
      <c r="H32" s="25">
        <v>6852.2</v>
      </c>
      <c r="I32" s="25">
        <v>12090</v>
      </c>
      <c r="J32" s="25">
        <v>26.74</v>
      </c>
      <c r="K32" s="25">
        <v>37.3972</v>
      </c>
    </row>
    <row r="33" spans="1:11">
      <c r="A33" s="25" t="s">
        <v>128</v>
      </c>
      <c r="B33" s="25">
        <v>32768</v>
      </c>
      <c r="C33" s="25">
        <v>1024</v>
      </c>
      <c r="D33" s="25">
        <v>16</v>
      </c>
      <c r="E33" s="25">
        <v>64</v>
      </c>
      <c r="F33" s="25">
        <v>0.26</v>
      </c>
      <c r="G33" s="25">
        <v>265.8</v>
      </c>
      <c r="H33" s="25">
        <v>8770.3</v>
      </c>
      <c r="I33" s="25">
        <v>21631</v>
      </c>
      <c r="J33" s="25">
        <v>39.1</v>
      </c>
      <c r="K33" s="25">
        <v>25.5754</v>
      </c>
    </row>
    <row r="34" spans="1:11">
      <c r="A34" s="25" t="s">
        <v>129</v>
      </c>
      <c r="B34" s="25">
        <v>32768</v>
      </c>
      <c r="C34" s="25">
        <v>1024</v>
      </c>
      <c r="D34" s="25">
        <v>32</v>
      </c>
      <c r="E34" s="25">
        <v>128</v>
      </c>
      <c r="F34" s="25">
        <v>0.31</v>
      </c>
      <c r="G34" s="25">
        <v>316.7</v>
      </c>
      <c r="H34" s="25">
        <v>10451.8</v>
      </c>
      <c r="I34" s="25">
        <v>40418</v>
      </c>
      <c r="J34" s="25">
        <v>61.6</v>
      </c>
      <c r="K34" s="25">
        <v>16.2338</v>
      </c>
    </row>
    <row r="35" spans="1:11">
      <c r="A35" s="25" t="s">
        <v>130</v>
      </c>
      <c r="B35" s="25">
        <v>32768</v>
      </c>
      <c r="C35" s="25">
        <v>1024</v>
      </c>
      <c r="D35" s="25">
        <v>64</v>
      </c>
      <c r="E35" s="25">
        <v>256</v>
      </c>
      <c r="F35" s="25">
        <v>0.41</v>
      </c>
      <c r="G35" s="25">
        <v>25.8</v>
      </c>
      <c r="H35" s="25">
        <v>13463.1</v>
      </c>
      <c r="I35" s="25">
        <v>60587</v>
      </c>
      <c r="J35" s="25">
        <v>938.16</v>
      </c>
      <c r="K35" s="25">
        <v>1.0659</v>
      </c>
    </row>
    <row r="36" spans="1:1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</row>
    <row r="37" spans="1:11">
      <c r="A37" s="27" t="s">
        <v>336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</row>
    <row r="38" spans="1:11">
      <c r="A38" s="25" t="s">
        <v>132</v>
      </c>
      <c r="B38" s="25">
        <v>1024</v>
      </c>
      <c r="C38" s="25">
        <v>16384</v>
      </c>
      <c r="D38" s="25">
        <v>1</v>
      </c>
      <c r="E38" s="25">
        <v>16</v>
      </c>
      <c r="F38" s="25">
        <v>0.0069</v>
      </c>
      <c r="G38" s="25">
        <v>112.85</v>
      </c>
      <c r="H38" s="25">
        <v>119.91</v>
      </c>
      <c r="I38" s="25">
        <v>164</v>
      </c>
      <c r="J38" s="25">
        <v>8.85</v>
      </c>
      <c r="K38" s="25">
        <v>112.9944</v>
      </c>
    </row>
    <row r="39" spans="1:11">
      <c r="A39" s="25" t="s">
        <v>133</v>
      </c>
      <c r="B39" s="25">
        <v>1024</v>
      </c>
      <c r="C39" s="25">
        <v>16384</v>
      </c>
      <c r="D39" s="25">
        <v>2</v>
      </c>
      <c r="E39" s="25">
        <v>8</v>
      </c>
      <c r="F39" s="25">
        <v>0.013</v>
      </c>
      <c r="G39" s="25">
        <v>212.59</v>
      </c>
      <c r="H39" s="25">
        <v>225.87</v>
      </c>
      <c r="I39" s="25">
        <v>173</v>
      </c>
      <c r="J39" s="25">
        <v>9.39</v>
      </c>
      <c r="K39" s="25">
        <v>106.4963</v>
      </c>
    </row>
    <row r="40" spans="1:11">
      <c r="A40" s="25" t="s">
        <v>134</v>
      </c>
      <c r="B40" s="25">
        <v>1024</v>
      </c>
      <c r="C40" s="25">
        <v>16384</v>
      </c>
      <c r="D40" s="25">
        <v>4</v>
      </c>
      <c r="E40" s="25">
        <v>16</v>
      </c>
      <c r="F40" s="25">
        <v>0.0225</v>
      </c>
      <c r="G40" s="25">
        <v>368.16</v>
      </c>
      <c r="H40" s="25">
        <v>391.17</v>
      </c>
      <c r="I40" s="25">
        <v>208</v>
      </c>
      <c r="J40" s="25">
        <v>10.8</v>
      </c>
      <c r="K40" s="25">
        <v>92.5926</v>
      </c>
    </row>
    <row r="41" spans="1:11">
      <c r="A41" s="25" t="s">
        <v>135</v>
      </c>
      <c r="B41" s="25">
        <v>1024</v>
      </c>
      <c r="C41" s="25">
        <v>16384</v>
      </c>
      <c r="D41" s="25">
        <v>8</v>
      </c>
      <c r="E41" s="25">
        <v>16</v>
      </c>
      <c r="F41" s="25">
        <v>0.0399</v>
      </c>
      <c r="G41" s="25">
        <v>653.11</v>
      </c>
      <c r="H41" s="25">
        <v>693.93</v>
      </c>
      <c r="I41" s="25">
        <v>445</v>
      </c>
      <c r="J41" s="25">
        <v>12.2</v>
      </c>
      <c r="K41" s="25">
        <v>81.9672</v>
      </c>
    </row>
    <row r="42" spans="1:11">
      <c r="A42" s="25" t="s">
        <v>136</v>
      </c>
      <c r="B42" s="25">
        <v>1024</v>
      </c>
      <c r="C42" s="25">
        <v>16384</v>
      </c>
      <c r="D42" s="25">
        <v>16</v>
      </c>
      <c r="E42" s="25">
        <v>32</v>
      </c>
      <c r="F42" s="25">
        <v>0.0653</v>
      </c>
      <c r="G42" s="25">
        <v>1068.9</v>
      </c>
      <c r="H42" s="25">
        <v>1135.7</v>
      </c>
      <c r="I42" s="25">
        <v>657</v>
      </c>
      <c r="J42" s="25">
        <v>14.56</v>
      </c>
      <c r="K42" s="25">
        <v>68.6813</v>
      </c>
    </row>
    <row r="43" spans="1:11">
      <c r="A43" s="25" t="s">
        <v>137</v>
      </c>
      <c r="B43" s="25">
        <v>1024</v>
      </c>
      <c r="C43" s="25">
        <v>16384</v>
      </c>
      <c r="D43" s="25">
        <v>32</v>
      </c>
      <c r="E43" s="25">
        <v>64</v>
      </c>
      <c r="F43" s="25">
        <v>0.089</v>
      </c>
      <c r="G43" s="25">
        <v>1457.43</v>
      </c>
      <c r="H43" s="25">
        <v>1548.52</v>
      </c>
      <c r="I43" s="25">
        <v>1642</v>
      </c>
      <c r="J43" s="25">
        <v>21.86</v>
      </c>
      <c r="K43" s="25">
        <v>45.7457</v>
      </c>
    </row>
    <row r="44" spans="1:11">
      <c r="A44" s="25" t="s">
        <v>138</v>
      </c>
      <c r="B44" s="25">
        <v>1024</v>
      </c>
      <c r="C44" s="25">
        <v>16384</v>
      </c>
      <c r="D44" s="25">
        <v>64</v>
      </c>
      <c r="E44" s="25">
        <v>128</v>
      </c>
      <c r="F44" s="25">
        <v>0.0842</v>
      </c>
      <c r="G44" s="25">
        <v>1380.21</v>
      </c>
      <c r="H44" s="25">
        <v>1466.38</v>
      </c>
      <c r="I44" s="25">
        <v>2684</v>
      </c>
      <c r="J44" s="25">
        <v>46.21</v>
      </c>
      <c r="K44" s="25">
        <v>21.6403</v>
      </c>
    </row>
    <row r="45" spans="1:1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</row>
    <row r="46" spans="1:11">
      <c r="A46" s="27" t="s">
        <v>337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</row>
    <row r="47" spans="1:11">
      <c r="A47" s="25" t="s">
        <v>141</v>
      </c>
      <c r="B47" s="25">
        <v>8192</v>
      </c>
      <c r="C47" s="25">
        <v>16384</v>
      </c>
      <c r="D47" s="25">
        <v>1</v>
      </c>
      <c r="E47" s="25">
        <v>16</v>
      </c>
      <c r="F47" s="25">
        <v>0.0069</v>
      </c>
      <c r="G47" s="25">
        <v>112.43</v>
      </c>
      <c r="H47" s="25">
        <v>168.64</v>
      </c>
      <c r="I47" s="25">
        <v>649</v>
      </c>
      <c r="J47" s="25">
        <v>8.86</v>
      </c>
      <c r="K47" s="25">
        <v>112.8668</v>
      </c>
    </row>
    <row r="48" spans="1:11">
      <c r="A48" s="25" t="s">
        <v>142</v>
      </c>
      <c r="B48" s="25">
        <v>8192</v>
      </c>
      <c r="C48" s="25">
        <v>16384</v>
      </c>
      <c r="D48" s="25">
        <v>2</v>
      </c>
      <c r="E48" s="25">
        <v>8</v>
      </c>
      <c r="F48" s="25">
        <v>0.0129</v>
      </c>
      <c r="G48" s="25">
        <v>211.44</v>
      </c>
      <c r="H48" s="25">
        <v>317.16</v>
      </c>
      <c r="I48" s="25">
        <v>795</v>
      </c>
      <c r="J48" s="25">
        <v>9.41</v>
      </c>
      <c r="K48" s="25">
        <v>106.2699</v>
      </c>
    </row>
    <row r="49" spans="1:11">
      <c r="A49" s="25" t="s">
        <v>143</v>
      </c>
      <c r="B49" s="25">
        <v>8192</v>
      </c>
      <c r="C49" s="25">
        <v>16384</v>
      </c>
      <c r="D49" s="25">
        <v>4</v>
      </c>
      <c r="E49" s="25">
        <v>16</v>
      </c>
      <c r="F49" s="25">
        <v>0.0223</v>
      </c>
      <c r="G49" s="25">
        <v>365.21</v>
      </c>
      <c r="H49" s="25">
        <v>547.81</v>
      </c>
      <c r="I49" s="25">
        <v>1067</v>
      </c>
      <c r="J49" s="25">
        <v>10.86</v>
      </c>
      <c r="K49" s="25">
        <v>92.081</v>
      </c>
    </row>
    <row r="50" spans="1:11">
      <c r="A50" s="25" t="s">
        <v>144</v>
      </c>
      <c r="B50" s="25">
        <v>8192</v>
      </c>
      <c r="C50" s="25">
        <v>16384</v>
      </c>
      <c r="D50" s="25">
        <v>8</v>
      </c>
      <c r="E50" s="25">
        <v>16</v>
      </c>
      <c r="F50" s="25">
        <v>0.0389</v>
      </c>
      <c r="G50" s="25">
        <v>636.5</v>
      </c>
      <c r="H50" s="25">
        <v>954.75</v>
      </c>
      <c r="I50" s="25">
        <v>2360</v>
      </c>
      <c r="J50" s="25">
        <v>12.34</v>
      </c>
      <c r="K50" s="25">
        <v>81.0373</v>
      </c>
    </row>
    <row r="51" spans="1:11">
      <c r="A51" s="25" t="s">
        <v>145</v>
      </c>
      <c r="B51" s="25">
        <v>8192</v>
      </c>
      <c r="C51" s="25">
        <v>16384</v>
      </c>
      <c r="D51" s="25">
        <v>16</v>
      </c>
      <c r="E51" s="25">
        <v>32</v>
      </c>
      <c r="F51" s="25">
        <v>0.0662</v>
      </c>
      <c r="G51" s="25">
        <v>1085.4</v>
      </c>
      <c r="H51" s="25">
        <v>1628.1</v>
      </c>
      <c r="I51" s="25">
        <v>3812</v>
      </c>
      <c r="J51" s="25">
        <v>14.35</v>
      </c>
      <c r="K51" s="25">
        <v>69.6864</v>
      </c>
    </row>
    <row r="52" spans="1:11">
      <c r="A52" s="25" t="s">
        <v>146</v>
      </c>
      <c r="B52" s="25">
        <v>8192</v>
      </c>
      <c r="C52" s="25">
        <v>16384</v>
      </c>
      <c r="D52" s="25">
        <v>32</v>
      </c>
      <c r="E52" s="25">
        <v>64</v>
      </c>
      <c r="F52" s="25">
        <v>0.0849</v>
      </c>
      <c r="G52" s="25">
        <v>1391.75</v>
      </c>
      <c r="H52" s="25">
        <v>2087.62</v>
      </c>
      <c r="I52" s="25">
        <v>9603</v>
      </c>
      <c r="J52" s="25">
        <v>22.41</v>
      </c>
      <c r="K52" s="25">
        <v>44.6229</v>
      </c>
    </row>
    <row r="53" spans="1:1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</row>
    <row r="54" spans="1:1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1">
      <c r="A55" s="28" t="s">
        <v>338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</row>
    <row r="56" customHeight="1" spans="1:11">
      <c r="A56" s="29" t="s">
        <v>339</v>
      </c>
      <c r="B56" s="29"/>
      <c r="C56" s="29"/>
      <c r="D56" s="29"/>
      <c r="E56" s="29"/>
      <c r="F56" s="29"/>
      <c r="G56" s="29"/>
      <c r="H56" s="29"/>
      <c r="I56" s="29"/>
      <c r="J56" s="29"/>
      <c r="K56" s="29"/>
    </row>
    <row r="57" customHeight="1" spans="1:11">
      <c r="A57" s="29" t="s">
        <v>340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</row>
    <row r="58" customHeight="1" spans="1:11">
      <c r="A58" s="29" t="s">
        <v>341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</row>
    <row r="59" customHeight="1" spans="1:11">
      <c r="A59" s="29" t="s">
        <v>342</v>
      </c>
      <c r="B59" s="29"/>
      <c r="C59" s="29"/>
      <c r="D59" s="29"/>
      <c r="E59" s="29"/>
      <c r="F59" s="29"/>
      <c r="G59" s="29"/>
      <c r="H59" s="29"/>
      <c r="I59" s="29"/>
      <c r="J59" s="29"/>
      <c r="K59" s="29"/>
    </row>
    <row r="60" customHeight="1" spans="1:11">
      <c r="A60" s="29" t="s">
        <v>343</v>
      </c>
      <c r="B60" s="29"/>
      <c r="C60" s="29"/>
      <c r="D60" s="29"/>
      <c r="E60" s="29"/>
      <c r="F60" s="29"/>
      <c r="G60" s="29"/>
      <c r="H60" s="29"/>
      <c r="I60" s="29"/>
      <c r="J60" s="29"/>
      <c r="K60" s="29"/>
    </row>
    <row r="61" spans="1:1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</row>
    <row r="62" spans="1:1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</row>
  </sheetData>
  <sheetProtection formatCells="0" formatColumns="0" formatRows="0" insertRows="0" insertColumns="0" insertHyperlinks="0" deleteColumns="0" deleteRows="0" sort="0" autoFilter="0" pivotTables="0"/>
  <mergeCells count="8">
    <mergeCell ref="A1:K1"/>
    <mergeCell ref="A2:K2"/>
    <mergeCell ref="A3:K3"/>
    <mergeCell ref="A56:K56"/>
    <mergeCell ref="A57:K57"/>
    <mergeCell ref="A58:K58"/>
    <mergeCell ref="A59:K59"/>
    <mergeCell ref="A60:K60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4"/>
  <sheetViews>
    <sheetView workbookViewId="0">
      <selection activeCell="B20" sqref="B20:D20"/>
    </sheetView>
  </sheetViews>
  <sheetFormatPr defaultColWidth="9" defaultRowHeight="13.5"/>
  <cols>
    <col min="1" max="16384" width="9" style="23"/>
  </cols>
  <sheetData>
    <row r="1" ht="15" customHeight="1" spans="1:11">
      <c r="A1" s="24" t="s">
        <v>344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Height="1" spans="1:11">
      <c r="A2" s="25" t="s">
        <v>345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customHeight="1" spans="1:11">
      <c r="A3" s="26" t="s">
        <v>346</v>
      </c>
      <c r="B3" s="26"/>
      <c r="C3" s="26"/>
      <c r="D3" s="26"/>
      <c r="E3" s="26"/>
      <c r="F3" s="26"/>
      <c r="G3" s="26"/>
      <c r="H3" s="26"/>
      <c r="I3" s="26"/>
      <c r="J3" s="26"/>
      <c r="K3" s="26"/>
    </row>
    <row r="4" spans="1:11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</row>
    <row r="5" spans="1:11">
      <c r="A5" s="27" t="s">
        <v>326</v>
      </c>
      <c r="B5" s="27" t="s">
        <v>327</v>
      </c>
      <c r="C5" s="27" t="s">
        <v>328</v>
      </c>
      <c r="D5" s="27" t="s">
        <v>95</v>
      </c>
      <c r="E5" s="27" t="s">
        <v>4</v>
      </c>
      <c r="F5" s="27" t="s">
        <v>329</v>
      </c>
      <c r="G5" s="27" t="s">
        <v>330</v>
      </c>
      <c r="H5" s="27" t="s">
        <v>331</v>
      </c>
      <c r="I5" s="27" t="s">
        <v>100</v>
      </c>
      <c r="J5" s="27" t="s">
        <v>101</v>
      </c>
      <c r="K5" s="27" t="s">
        <v>332</v>
      </c>
    </row>
    <row r="6" spans="1:11">
      <c r="A6" s="27" t="s">
        <v>333</v>
      </c>
      <c r="B6" s="25"/>
      <c r="C6" s="25"/>
      <c r="D6" s="25"/>
      <c r="E6" s="25"/>
      <c r="F6" s="25"/>
      <c r="G6" s="25"/>
      <c r="H6" s="25"/>
      <c r="I6" s="25"/>
      <c r="J6" s="25"/>
      <c r="K6" s="25"/>
    </row>
    <row r="7" spans="1:11">
      <c r="A7" s="25" t="s">
        <v>104</v>
      </c>
      <c r="B7" s="25">
        <v>1024</v>
      </c>
      <c r="C7" s="25">
        <v>1024</v>
      </c>
      <c r="D7" s="25">
        <v>2</v>
      </c>
      <c r="E7" s="25">
        <v>32</v>
      </c>
      <c r="F7" s="25">
        <v>0.06</v>
      </c>
      <c r="G7" s="25">
        <v>65.57</v>
      </c>
      <c r="H7" s="25">
        <v>131.13</v>
      </c>
      <c r="I7" s="25">
        <v>388</v>
      </c>
      <c r="J7" s="25">
        <v>30.15</v>
      </c>
      <c r="K7" s="25">
        <v>33.1675</v>
      </c>
    </row>
    <row r="8" spans="1:11">
      <c r="A8" s="25" t="s">
        <v>105</v>
      </c>
      <c r="B8" s="25">
        <v>1024</v>
      </c>
      <c r="C8" s="25">
        <v>1024</v>
      </c>
      <c r="D8" s="25">
        <v>4</v>
      </c>
      <c r="E8" s="25">
        <v>32</v>
      </c>
      <c r="F8" s="25">
        <v>0.12</v>
      </c>
      <c r="G8" s="25">
        <v>120.44</v>
      </c>
      <c r="H8" s="25">
        <v>240.87</v>
      </c>
      <c r="I8" s="25">
        <v>625</v>
      </c>
      <c r="J8" s="25">
        <v>32.61</v>
      </c>
      <c r="K8" s="25">
        <v>30.6654</v>
      </c>
    </row>
    <row r="9" spans="1:11">
      <c r="A9" s="25" t="s">
        <v>106</v>
      </c>
      <c r="B9" s="25">
        <v>1024</v>
      </c>
      <c r="C9" s="25">
        <v>1024</v>
      </c>
      <c r="D9" s="25">
        <v>8</v>
      </c>
      <c r="E9" s="25">
        <v>32</v>
      </c>
      <c r="F9" s="25">
        <v>0.21</v>
      </c>
      <c r="G9" s="25">
        <v>214.24</v>
      </c>
      <c r="H9" s="25">
        <v>428.49</v>
      </c>
      <c r="I9" s="25">
        <v>1162</v>
      </c>
      <c r="J9" s="25">
        <v>36.17</v>
      </c>
      <c r="K9" s="25">
        <v>27.6472</v>
      </c>
    </row>
    <row r="10" spans="1:11">
      <c r="A10" s="25" t="s">
        <v>107</v>
      </c>
      <c r="B10" s="25">
        <v>1024</v>
      </c>
      <c r="C10" s="25">
        <v>1024</v>
      </c>
      <c r="D10" s="25">
        <v>16</v>
      </c>
      <c r="E10" s="25">
        <v>64</v>
      </c>
      <c r="F10" s="25">
        <v>0.36</v>
      </c>
      <c r="G10" s="25">
        <v>373.74</v>
      </c>
      <c r="H10" s="25">
        <v>747.47</v>
      </c>
      <c r="I10" s="25">
        <v>1568</v>
      </c>
      <c r="J10" s="25">
        <v>40.76</v>
      </c>
      <c r="K10" s="25">
        <v>24.5339</v>
      </c>
    </row>
    <row r="11" spans="1:11">
      <c r="A11" s="25" t="s">
        <v>108</v>
      </c>
      <c r="B11" s="25">
        <v>1024</v>
      </c>
      <c r="C11" s="25">
        <v>1024</v>
      </c>
      <c r="D11" s="25">
        <v>32</v>
      </c>
      <c r="E11" s="25">
        <v>128</v>
      </c>
      <c r="F11" s="25">
        <v>0.6</v>
      </c>
      <c r="G11" s="25">
        <v>616.39</v>
      </c>
      <c r="H11" s="25">
        <v>1232.79</v>
      </c>
      <c r="I11" s="25">
        <v>2596</v>
      </c>
      <c r="J11" s="25">
        <v>48.8</v>
      </c>
      <c r="K11" s="25">
        <v>20.4918</v>
      </c>
    </row>
    <row r="12" spans="1:11">
      <c r="A12" s="25" t="s">
        <v>109</v>
      </c>
      <c r="B12" s="25">
        <v>1024</v>
      </c>
      <c r="C12" s="25">
        <v>1024</v>
      </c>
      <c r="D12" s="25">
        <v>64</v>
      </c>
      <c r="E12" s="25">
        <v>256</v>
      </c>
      <c r="F12" s="25">
        <v>0.6</v>
      </c>
      <c r="G12" s="25">
        <v>613.29</v>
      </c>
      <c r="H12" s="25">
        <v>1226.58</v>
      </c>
      <c r="I12" s="25">
        <v>48071</v>
      </c>
      <c r="J12" s="25">
        <v>50.19</v>
      </c>
      <c r="K12" s="25">
        <v>19.9243</v>
      </c>
    </row>
    <row r="13" spans="1:11">
      <c r="A13" s="25" t="s">
        <v>110</v>
      </c>
      <c r="B13" s="25">
        <v>1024</v>
      </c>
      <c r="C13" s="25">
        <v>1024</v>
      </c>
      <c r="D13" s="25">
        <v>128</v>
      </c>
      <c r="E13" s="25">
        <v>512</v>
      </c>
      <c r="F13" s="25">
        <v>0.59</v>
      </c>
      <c r="G13" s="25">
        <v>607.55</v>
      </c>
      <c r="H13" s="25">
        <v>1215.1</v>
      </c>
      <c r="I13" s="25">
        <v>142385</v>
      </c>
      <c r="J13" s="25">
        <v>51.53</v>
      </c>
      <c r="K13" s="25">
        <v>19.4062</v>
      </c>
    </row>
    <row r="14" spans="1:1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</row>
    <row r="15" spans="1:11">
      <c r="A15" s="27" t="s">
        <v>334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</row>
    <row r="16" spans="1:11">
      <c r="A16" s="25" t="s">
        <v>115</v>
      </c>
      <c r="B16" s="25">
        <v>8192</v>
      </c>
      <c r="C16" s="25">
        <v>1024</v>
      </c>
      <c r="D16" s="25">
        <v>2</v>
      </c>
      <c r="E16" s="25">
        <v>32</v>
      </c>
      <c r="F16" s="25">
        <v>0.06</v>
      </c>
      <c r="G16" s="25">
        <v>59</v>
      </c>
      <c r="H16" s="25">
        <v>531.03</v>
      </c>
      <c r="I16" s="25">
        <v>2488</v>
      </c>
      <c r="J16" s="25">
        <v>31.49</v>
      </c>
      <c r="K16" s="25">
        <v>31.7561</v>
      </c>
    </row>
    <row r="17" spans="1:11">
      <c r="A17" s="25" t="s">
        <v>116</v>
      </c>
      <c r="B17" s="25">
        <v>8192</v>
      </c>
      <c r="C17" s="25">
        <v>1024</v>
      </c>
      <c r="D17" s="25">
        <v>4</v>
      </c>
      <c r="E17" s="25">
        <v>32</v>
      </c>
      <c r="F17" s="25">
        <v>0.1</v>
      </c>
      <c r="G17" s="25">
        <v>100.68</v>
      </c>
      <c r="H17" s="25">
        <v>906.14</v>
      </c>
      <c r="I17" s="25">
        <v>3152</v>
      </c>
      <c r="J17" s="25">
        <v>36.65</v>
      </c>
      <c r="K17" s="25">
        <v>27.2851</v>
      </c>
    </row>
    <row r="18" spans="1:11">
      <c r="A18" s="25" t="s">
        <v>117</v>
      </c>
      <c r="B18" s="25">
        <v>8192</v>
      </c>
      <c r="C18" s="25">
        <v>1024</v>
      </c>
      <c r="D18" s="25">
        <v>8</v>
      </c>
      <c r="E18" s="25">
        <v>32</v>
      </c>
      <c r="F18" s="25">
        <v>0.15</v>
      </c>
      <c r="G18" s="25">
        <v>155.05</v>
      </c>
      <c r="H18" s="25">
        <v>1395.42</v>
      </c>
      <c r="I18" s="25">
        <v>5593</v>
      </c>
      <c r="J18" s="25">
        <v>46.01</v>
      </c>
      <c r="K18" s="25">
        <v>21.7344</v>
      </c>
    </row>
    <row r="19" spans="1:11">
      <c r="A19" s="25" t="s">
        <v>118</v>
      </c>
      <c r="B19" s="25">
        <v>8192</v>
      </c>
      <c r="C19" s="25">
        <v>1024</v>
      </c>
      <c r="D19" s="25">
        <v>16</v>
      </c>
      <c r="E19" s="25">
        <v>64</v>
      </c>
      <c r="F19" s="25">
        <v>0.22</v>
      </c>
      <c r="G19" s="25">
        <v>222.09</v>
      </c>
      <c r="H19" s="25">
        <v>1998.85</v>
      </c>
      <c r="I19" s="25">
        <v>14448</v>
      </c>
      <c r="J19" s="25">
        <v>57.68</v>
      </c>
      <c r="K19" s="25">
        <v>17.337</v>
      </c>
    </row>
    <row r="20" spans="1:11">
      <c r="A20" s="25" t="s">
        <v>119</v>
      </c>
      <c r="B20" s="25">
        <v>8192</v>
      </c>
      <c r="C20" s="25">
        <v>1024</v>
      </c>
      <c r="D20" s="25">
        <v>32</v>
      </c>
      <c r="E20" s="25">
        <v>128</v>
      </c>
      <c r="F20" s="25">
        <v>0.28</v>
      </c>
      <c r="G20" s="25">
        <v>287.23</v>
      </c>
      <c r="H20" s="25">
        <v>2585.11</v>
      </c>
      <c r="I20" s="25">
        <v>19369</v>
      </c>
      <c r="J20" s="25">
        <v>92.08</v>
      </c>
      <c r="K20" s="25">
        <v>10.8601</v>
      </c>
    </row>
    <row r="21" spans="1:11">
      <c r="A21" s="25" t="s">
        <v>120</v>
      </c>
      <c r="B21" s="25">
        <v>8192</v>
      </c>
      <c r="C21" s="25">
        <v>1024</v>
      </c>
      <c r="D21" s="25">
        <v>64</v>
      </c>
      <c r="E21" s="25">
        <v>256</v>
      </c>
      <c r="F21" s="25">
        <v>0.28</v>
      </c>
      <c r="G21" s="25">
        <v>286.03</v>
      </c>
      <c r="H21" s="25">
        <v>2574.29</v>
      </c>
      <c r="I21" s="25">
        <v>112594</v>
      </c>
      <c r="J21" s="25">
        <v>102.95</v>
      </c>
      <c r="K21" s="25">
        <v>9.7135</v>
      </c>
    </row>
    <row r="22" spans="1:11">
      <c r="A22" s="25" t="s">
        <v>121</v>
      </c>
      <c r="B22" s="25">
        <v>8192</v>
      </c>
      <c r="C22" s="25">
        <v>1024</v>
      </c>
      <c r="D22" s="25">
        <v>128</v>
      </c>
      <c r="E22" s="25">
        <v>512</v>
      </c>
      <c r="F22" s="25">
        <v>0.28</v>
      </c>
      <c r="G22" s="25">
        <v>287.29</v>
      </c>
      <c r="H22" s="25">
        <v>2585.57</v>
      </c>
      <c r="I22" s="25">
        <v>311441</v>
      </c>
      <c r="J22" s="25">
        <v>105.44</v>
      </c>
      <c r="K22" s="25">
        <v>9.4841</v>
      </c>
    </row>
    <row r="23" spans="1:1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</row>
    <row r="24" spans="1:11">
      <c r="A24" s="27" t="s">
        <v>336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</row>
    <row r="25" spans="1:11">
      <c r="A25" s="25" t="s">
        <v>133</v>
      </c>
      <c r="B25" s="25">
        <v>1024</v>
      </c>
      <c r="C25" s="25">
        <v>16384</v>
      </c>
      <c r="D25" s="25">
        <v>2</v>
      </c>
      <c r="E25" s="25">
        <v>8</v>
      </c>
      <c r="F25" s="25">
        <v>0</v>
      </c>
      <c r="G25" s="25">
        <v>68.17</v>
      </c>
      <c r="H25" s="25">
        <v>72.44</v>
      </c>
      <c r="I25" s="25">
        <v>439</v>
      </c>
      <c r="J25" s="25">
        <v>29.31</v>
      </c>
      <c r="K25" s="25">
        <v>34.118</v>
      </c>
    </row>
    <row r="26" spans="1:11">
      <c r="A26" s="25" t="s">
        <v>134</v>
      </c>
      <c r="B26" s="25">
        <v>1024</v>
      </c>
      <c r="C26" s="25">
        <v>16384</v>
      </c>
      <c r="D26" s="25">
        <v>4</v>
      </c>
      <c r="E26" s="25">
        <v>16</v>
      </c>
      <c r="F26" s="25">
        <v>0.01</v>
      </c>
      <c r="G26" s="25">
        <v>128.8</v>
      </c>
      <c r="H26" s="25">
        <v>136.86</v>
      </c>
      <c r="I26" s="25">
        <v>649</v>
      </c>
      <c r="J26" s="25">
        <v>30.99</v>
      </c>
      <c r="K26" s="25">
        <v>32.2685</v>
      </c>
    </row>
    <row r="27" spans="1:11">
      <c r="A27" s="25" t="s">
        <v>135</v>
      </c>
      <c r="B27" s="25">
        <v>1024</v>
      </c>
      <c r="C27" s="25">
        <v>16384</v>
      </c>
      <c r="D27" s="25">
        <v>8</v>
      </c>
      <c r="E27" s="25">
        <v>16</v>
      </c>
      <c r="F27" s="25">
        <v>0.01</v>
      </c>
      <c r="G27" s="25">
        <v>233.23</v>
      </c>
      <c r="H27" s="25">
        <v>247.81</v>
      </c>
      <c r="I27" s="25">
        <v>1247</v>
      </c>
      <c r="J27" s="25">
        <v>34.22</v>
      </c>
      <c r="K27" s="25">
        <v>29.2227</v>
      </c>
    </row>
    <row r="28" spans="1:11">
      <c r="A28" s="25" t="s">
        <v>136</v>
      </c>
      <c r="B28" s="25">
        <v>1024</v>
      </c>
      <c r="C28" s="25">
        <v>16384</v>
      </c>
      <c r="D28" s="25">
        <v>16</v>
      </c>
      <c r="E28" s="25">
        <v>32</v>
      </c>
      <c r="F28" s="25">
        <v>0.03</v>
      </c>
      <c r="G28" s="25">
        <v>418.43</v>
      </c>
      <c r="H28" s="25">
        <v>444.58</v>
      </c>
      <c r="I28" s="25">
        <v>2336</v>
      </c>
      <c r="J28" s="25">
        <v>38.03</v>
      </c>
      <c r="K28" s="25">
        <v>26.295</v>
      </c>
    </row>
    <row r="29" spans="1:11">
      <c r="A29" s="25" t="s">
        <v>137</v>
      </c>
      <c r="B29" s="25">
        <v>1024</v>
      </c>
      <c r="C29" s="25">
        <v>16384</v>
      </c>
      <c r="D29" s="25">
        <v>32</v>
      </c>
      <c r="E29" s="25">
        <v>64</v>
      </c>
      <c r="F29" s="25">
        <v>0.05</v>
      </c>
      <c r="G29" s="25">
        <v>739.32</v>
      </c>
      <c r="H29" s="25">
        <v>785.53</v>
      </c>
      <c r="I29" s="25">
        <v>4050</v>
      </c>
      <c r="J29" s="25">
        <v>42.98</v>
      </c>
      <c r="K29" s="25">
        <v>23.2666</v>
      </c>
    </row>
    <row r="30" spans="1:1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</row>
    <row r="31" spans="1:11">
      <c r="A31" s="27" t="s">
        <v>337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</row>
    <row r="32" spans="1:11">
      <c r="A32" s="25" t="s">
        <v>142</v>
      </c>
      <c r="B32" s="25">
        <v>8192</v>
      </c>
      <c r="C32" s="25">
        <v>16384</v>
      </c>
      <c r="D32" s="25">
        <v>2</v>
      </c>
      <c r="E32" s="25">
        <v>8</v>
      </c>
      <c r="F32" s="25">
        <v>0</v>
      </c>
      <c r="G32" s="25">
        <v>67.98</v>
      </c>
      <c r="H32" s="25">
        <v>101.97</v>
      </c>
      <c r="I32" s="25">
        <v>3032</v>
      </c>
      <c r="J32" s="25">
        <v>29.24</v>
      </c>
      <c r="K32" s="25">
        <v>34.1997</v>
      </c>
    </row>
    <row r="33" spans="1:11">
      <c r="A33" s="25" t="s">
        <v>143</v>
      </c>
      <c r="B33" s="25">
        <v>8192</v>
      </c>
      <c r="C33" s="25">
        <v>16384</v>
      </c>
      <c r="D33" s="25">
        <v>4</v>
      </c>
      <c r="E33" s="25">
        <v>16</v>
      </c>
      <c r="F33" s="25">
        <v>0.01</v>
      </c>
      <c r="G33" s="25">
        <v>126.69</v>
      </c>
      <c r="H33" s="25">
        <v>190.04</v>
      </c>
      <c r="I33" s="25">
        <v>4251</v>
      </c>
      <c r="J33" s="25">
        <v>31.3</v>
      </c>
      <c r="K33" s="25">
        <v>31.9489</v>
      </c>
    </row>
    <row r="34" spans="1:11">
      <c r="A34" s="25" t="s">
        <v>144</v>
      </c>
      <c r="B34" s="25">
        <v>8192</v>
      </c>
      <c r="C34" s="25">
        <v>16384</v>
      </c>
      <c r="D34" s="25">
        <v>8</v>
      </c>
      <c r="E34" s="25">
        <v>16</v>
      </c>
      <c r="F34" s="25">
        <v>0.01</v>
      </c>
      <c r="G34" s="25">
        <v>226.6</v>
      </c>
      <c r="H34" s="25">
        <v>339.9</v>
      </c>
      <c r="I34" s="25">
        <v>7507</v>
      </c>
      <c r="J34" s="25">
        <v>34.84</v>
      </c>
      <c r="K34" s="25">
        <v>28.7026</v>
      </c>
    </row>
    <row r="35" spans="1:11">
      <c r="A35" s="25" t="s">
        <v>145</v>
      </c>
      <c r="B35" s="25">
        <v>8192</v>
      </c>
      <c r="C35" s="25">
        <v>16384</v>
      </c>
      <c r="D35" s="25">
        <v>16</v>
      </c>
      <c r="E35" s="25">
        <v>32</v>
      </c>
      <c r="F35" s="25">
        <v>0.02</v>
      </c>
      <c r="G35" s="25">
        <v>400</v>
      </c>
      <c r="H35" s="25">
        <v>600</v>
      </c>
      <c r="I35" s="25">
        <v>16511</v>
      </c>
      <c r="J35" s="25">
        <v>38.99</v>
      </c>
      <c r="K35" s="25">
        <v>25.6476</v>
      </c>
    </row>
    <row r="36" spans="1:1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</row>
    <row r="37" spans="1:1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</row>
    <row r="38" spans="1:11">
      <c r="A38" s="28" t="s">
        <v>347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</row>
    <row r="39" customHeight="1" spans="1:11">
      <c r="A39" s="29" t="s">
        <v>348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</row>
    <row r="40" customHeight="1" spans="1:11">
      <c r="A40" s="29" t="s">
        <v>349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</row>
    <row r="41" customHeight="1" spans="1:11">
      <c r="A41" s="29" t="s">
        <v>350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</row>
    <row r="42" customHeight="1" spans="1:11">
      <c r="A42" s="29" t="s">
        <v>351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</row>
    <row r="43" spans="1:1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</row>
    <row r="44" spans="1:11">
      <c r="A44" s="28" t="s">
        <v>352</v>
      </c>
      <c r="B44" s="29"/>
      <c r="C44" s="29"/>
      <c r="D44" s="29"/>
      <c r="E44" s="29"/>
      <c r="F44" s="29"/>
      <c r="G44" s="29"/>
      <c r="H44" s="29"/>
      <c r="I44" s="29"/>
      <c r="J44" s="29"/>
      <c r="K44" s="29"/>
    </row>
    <row r="45" customHeight="1" spans="1:11">
      <c r="A45" s="29" t="s">
        <v>353</v>
      </c>
      <c r="B45" s="29"/>
      <c r="C45" s="29" t="s">
        <v>354</v>
      </c>
      <c r="D45" s="29"/>
      <c r="E45" s="29"/>
      <c r="F45" s="29"/>
      <c r="G45" s="29"/>
      <c r="H45" s="29"/>
      <c r="I45" s="29"/>
      <c r="J45" s="29"/>
      <c r="K45" s="29"/>
    </row>
    <row r="46" customHeight="1" spans="1:11">
      <c r="A46" s="29" t="s">
        <v>355</v>
      </c>
      <c r="B46" s="29"/>
      <c r="C46" s="29" t="s">
        <v>356</v>
      </c>
      <c r="D46" s="29"/>
      <c r="E46" s="29"/>
      <c r="F46" s="29"/>
      <c r="G46" s="29"/>
      <c r="H46" s="29"/>
      <c r="I46" s="29"/>
      <c r="J46" s="29"/>
      <c r="K46" s="29"/>
    </row>
    <row r="47" customHeight="1" spans="1:11">
      <c r="A47" s="29" t="s">
        <v>357</v>
      </c>
      <c r="B47" s="29"/>
      <c r="C47" s="29" t="s">
        <v>358</v>
      </c>
      <c r="D47" s="29"/>
      <c r="E47" s="29"/>
      <c r="F47" s="29"/>
      <c r="G47" s="29"/>
      <c r="H47" s="29"/>
      <c r="I47" s="29"/>
      <c r="J47" s="29"/>
      <c r="K47" s="29"/>
    </row>
    <row r="48" customHeight="1" spans="1:11">
      <c r="A48" s="29" t="s">
        <v>359</v>
      </c>
      <c r="B48" s="29"/>
      <c r="C48" s="29" t="s">
        <v>360</v>
      </c>
      <c r="D48" s="29"/>
      <c r="E48" s="29"/>
      <c r="F48" s="29"/>
      <c r="G48" s="29"/>
      <c r="H48" s="29"/>
      <c r="I48" s="29"/>
      <c r="J48" s="29"/>
      <c r="K48" s="29"/>
    </row>
    <row r="49" customHeight="1" spans="1:11">
      <c r="A49" s="29" t="s">
        <v>361</v>
      </c>
      <c r="B49" s="29"/>
      <c r="C49" s="29" t="s">
        <v>362</v>
      </c>
      <c r="D49" s="29"/>
      <c r="E49" s="29"/>
      <c r="F49" s="29"/>
      <c r="G49" s="29"/>
      <c r="H49" s="29"/>
      <c r="I49" s="29"/>
      <c r="J49" s="29"/>
      <c r="K49" s="29"/>
    </row>
    <row r="50" customHeight="1" spans="1:11">
      <c r="A50" s="29" t="s">
        <v>363</v>
      </c>
      <c r="B50" s="29"/>
      <c r="C50" s="29" t="s">
        <v>364</v>
      </c>
      <c r="D50" s="29"/>
      <c r="E50" s="29"/>
      <c r="F50" s="29"/>
      <c r="G50" s="29"/>
      <c r="H50" s="29"/>
      <c r="I50" s="29"/>
      <c r="J50" s="29"/>
      <c r="K50" s="29"/>
    </row>
    <row r="51" customHeight="1" spans="1:11">
      <c r="A51" s="29" t="s">
        <v>365</v>
      </c>
      <c r="B51" s="29"/>
      <c r="C51" s="29" t="s">
        <v>366</v>
      </c>
      <c r="D51" s="29"/>
      <c r="E51" s="29"/>
      <c r="F51" s="29"/>
      <c r="G51" s="29"/>
      <c r="H51" s="29"/>
      <c r="I51" s="29"/>
      <c r="J51" s="29"/>
      <c r="K51" s="29"/>
    </row>
    <row r="52" spans="1:1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</row>
    <row r="53" spans="1:1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</row>
    <row r="54" spans="1:1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</row>
  </sheetData>
  <sheetProtection formatCells="0" formatColumns="0" formatRows="0" insertRows="0" insertColumns="0" insertHyperlinks="0" deleteColumns="0" deleteRows="0" sort="0" autoFilter="0" pivotTables="0"/>
  <mergeCells count="14">
    <mergeCell ref="A1:K1"/>
    <mergeCell ref="A2:K2"/>
    <mergeCell ref="A3:K3"/>
    <mergeCell ref="A39:K39"/>
    <mergeCell ref="A40:K40"/>
    <mergeCell ref="A41:K41"/>
    <mergeCell ref="A42:K42"/>
    <mergeCell ref="C45:K45"/>
    <mergeCell ref="C46:K46"/>
    <mergeCell ref="C47:K47"/>
    <mergeCell ref="C48:K48"/>
    <mergeCell ref="C49:K49"/>
    <mergeCell ref="C50:K50"/>
    <mergeCell ref="C51:K51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3"/>
  <sheetViews>
    <sheetView workbookViewId="0">
      <selection activeCell="C11" sqref="C11"/>
    </sheetView>
  </sheetViews>
  <sheetFormatPr defaultColWidth="9" defaultRowHeight="13.5"/>
  <cols>
    <col min="1" max="1" width="30" style="14" customWidth="1"/>
    <col min="2" max="3" width="10" style="14" customWidth="1"/>
    <col min="4" max="5" width="14" style="14" customWidth="1"/>
    <col min="6" max="6" width="20" style="14" customWidth="1"/>
    <col min="7" max="7" width="16" style="14" customWidth="1"/>
    <col min="8" max="8" width="18" style="14" customWidth="1"/>
    <col min="9" max="9" width="16" style="14" customWidth="1"/>
    <col min="10" max="11" width="10" style="14" customWidth="1"/>
    <col min="12" max="13" width="13" style="14" customWidth="1"/>
    <col min="14" max="14" width="20" style="14" customWidth="1"/>
    <col min="15" max="16384" width="9" style="14"/>
  </cols>
  <sheetData>
    <row r="1" s="14" customFormat="1" ht="21" spans="1:14">
      <c r="A1" s="15" t="s">
        <v>367</v>
      </c>
    </row>
    <row r="2" s="14" customFormat="1" ht="16.5" spans="1:14">
      <c r="A2" s="16" t="s">
        <v>368</v>
      </c>
    </row>
    <row r="4" s="14" customFormat="1" ht="15" spans="1:14">
      <c r="A4" s="17" t="s">
        <v>369</v>
      </c>
    </row>
    <row r="5" s="14" customFormat="1" ht="14.25" spans="1:14">
      <c r="A5" s="18" t="s">
        <v>0</v>
      </c>
      <c r="B5" s="18" t="s">
        <v>370</v>
      </c>
      <c r="C5" s="18" t="s">
        <v>371</v>
      </c>
      <c r="D5" s="18" t="s">
        <v>372</v>
      </c>
      <c r="E5" s="18" t="s">
        <v>373</v>
      </c>
      <c r="F5" s="18" t="s">
        <v>5</v>
      </c>
      <c r="G5" s="18" t="s">
        <v>6</v>
      </c>
      <c r="H5" s="18" t="s">
        <v>374</v>
      </c>
      <c r="I5" s="18" t="s">
        <v>7</v>
      </c>
      <c r="J5" s="18" t="s">
        <v>100</v>
      </c>
      <c r="K5" s="18" t="s">
        <v>101</v>
      </c>
      <c r="L5" s="18" t="s">
        <v>375</v>
      </c>
      <c r="M5" s="18" t="s">
        <v>376</v>
      </c>
      <c r="N5" s="18" t="s">
        <v>10</v>
      </c>
    </row>
    <row r="6" s="14" customFormat="1" ht="14.25" spans="1:14">
      <c r="A6" s="19" t="s">
        <v>103</v>
      </c>
      <c r="B6" s="20">
        <v>1024</v>
      </c>
      <c r="C6" s="20">
        <v>1024</v>
      </c>
      <c r="D6" s="20">
        <v>1</v>
      </c>
      <c r="E6" s="20">
        <v>32</v>
      </c>
      <c r="F6" s="20">
        <v>0.102776</v>
      </c>
      <c r="G6" s="20">
        <v>105.24267</v>
      </c>
      <c r="H6" s="20">
        <v>6.58</v>
      </c>
      <c r="I6" s="20">
        <v>210.485339</v>
      </c>
      <c r="J6" s="20">
        <v>281.094679</v>
      </c>
      <c r="K6" s="20">
        <v>9.235968</v>
      </c>
      <c r="L6" s="20">
        <v>308.3</v>
      </c>
      <c r="M6" s="20">
        <v>10.3</v>
      </c>
      <c r="N6" s="20">
        <v>108.272356</v>
      </c>
    </row>
    <row r="7" s="14" customFormat="1" ht="14.25" spans="1:14">
      <c r="A7" s="19" t="s">
        <v>104</v>
      </c>
      <c r="B7" s="20">
        <v>1024</v>
      </c>
      <c r="C7" s="20">
        <v>1024</v>
      </c>
      <c r="D7" s="20">
        <v>2</v>
      </c>
      <c r="E7" s="20">
        <v>32</v>
      </c>
      <c r="F7" s="20">
        <v>0.204522</v>
      </c>
      <c r="G7" s="20">
        <v>209.430535</v>
      </c>
      <c r="H7" s="20">
        <v>13.09</v>
      </c>
      <c r="I7" s="20">
        <v>418.861071</v>
      </c>
      <c r="J7" s="20">
        <v>269.642196</v>
      </c>
      <c r="K7" s="20">
        <v>9.238798</v>
      </c>
      <c r="L7" s="20">
        <v>292.3</v>
      </c>
      <c r="M7" s="20">
        <v>10.5</v>
      </c>
      <c r="N7" s="20">
        <v>108.239189</v>
      </c>
    </row>
    <row r="8" s="14" customFormat="1" ht="14.25" spans="1:14">
      <c r="A8" s="19" t="s">
        <v>105</v>
      </c>
      <c r="B8" s="20">
        <v>1024</v>
      </c>
      <c r="C8" s="20">
        <v>1024</v>
      </c>
      <c r="D8" s="20">
        <v>4</v>
      </c>
      <c r="E8" s="20">
        <v>32</v>
      </c>
      <c r="F8" s="20">
        <v>0.353187</v>
      </c>
      <c r="G8" s="20">
        <v>361.663421</v>
      </c>
      <c r="H8" s="20">
        <v>22.6</v>
      </c>
      <c r="I8" s="20">
        <v>723.326842</v>
      </c>
      <c r="J8" s="20">
        <v>376.545823</v>
      </c>
      <c r="K8" s="20">
        <v>9.967532</v>
      </c>
      <c r="L8" s="20">
        <v>599.1</v>
      </c>
      <c r="M8" s="20">
        <v>11.6</v>
      </c>
      <c r="N8" s="20">
        <v>100.325737</v>
      </c>
    </row>
    <row r="9" s="14" customFormat="1" ht="14.25" spans="1:14">
      <c r="A9" s="19" t="s">
        <v>106</v>
      </c>
      <c r="B9" s="20">
        <v>1024</v>
      </c>
      <c r="C9" s="20">
        <v>1024</v>
      </c>
      <c r="D9" s="20">
        <v>8</v>
      </c>
      <c r="E9" s="20">
        <v>32</v>
      </c>
      <c r="F9" s="20">
        <v>0.580322</v>
      </c>
      <c r="G9" s="20">
        <v>594.249448</v>
      </c>
      <c r="H9" s="20">
        <v>37.14</v>
      </c>
      <c r="I9" s="20">
        <v>1188.498897</v>
      </c>
      <c r="J9" s="20">
        <v>462.096653</v>
      </c>
      <c r="K9" s="20">
        <v>11.516532</v>
      </c>
      <c r="L9" s="20">
        <v>718</v>
      </c>
      <c r="M9" s="20">
        <v>13.9</v>
      </c>
      <c r="N9" s="20">
        <v>86.831696</v>
      </c>
    </row>
    <row r="10" s="14" customFormat="1" ht="14.25" spans="1:14">
      <c r="A10" s="19" t="s">
        <v>107</v>
      </c>
      <c r="B10" s="20">
        <v>1024</v>
      </c>
      <c r="C10" s="20">
        <v>1024</v>
      </c>
      <c r="D10" s="20">
        <v>16</v>
      </c>
      <c r="E10" s="20">
        <v>64</v>
      </c>
      <c r="F10" s="20">
        <v>1.082704</v>
      </c>
      <c r="G10" s="20">
        <v>1108.688761</v>
      </c>
      <c r="H10" s="20">
        <v>69.29</v>
      </c>
      <c r="I10" s="20">
        <v>2217.377523</v>
      </c>
      <c r="J10" s="20">
        <v>485.151287</v>
      </c>
      <c r="K10" s="20">
        <v>13.033505</v>
      </c>
      <c r="L10" s="20">
        <v>769.9</v>
      </c>
      <c r="M10" s="20">
        <v>16.6</v>
      </c>
      <c r="N10" s="20">
        <v>76.725329</v>
      </c>
    </row>
    <row r="11" s="14" customFormat="1" ht="14.25" spans="1:14">
      <c r="A11" s="19" t="s">
        <v>108</v>
      </c>
      <c r="B11" s="20">
        <v>1024</v>
      </c>
      <c r="C11" s="20">
        <v>1024</v>
      </c>
      <c r="D11" s="20">
        <v>32</v>
      </c>
      <c r="E11" s="20">
        <v>128</v>
      </c>
      <c r="F11" s="20">
        <v>1.715937</v>
      </c>
      <c r="G11" s="20">
        <v>1757.119766</v>
      </c>
      <c r="H11" s="20">
        <v>109.82</v>
      </c>
      <c r="I11" s="20">
        <v>3514.239532</v>
      </c>
      <c r="J11" s="20">
        <v>612.531731</v>
      </c>
      <c r="K11" s="20">
        <v>15.969184</v>
      </c>
      <c r="L11" s="20">
        <v>935.9</v>
      </c>
      <c r="M11" s="20">
        <v>19.1</v>
      </c>
      <c r="N11" s="20">
        <v>62.620606</v>
      </c>
    </row>
    <row r="12" s="14" customFormat="1" ht="14.25" spans="1:14">
      <c r="A12" s="19" t="s">
        <v>109</v>
      </c>
      <c r="B12" s="20">
        <v>1024</v>
      </c>
      <c r="C12" s="20">
        <v>1024</v>
      </c>
      <c r="D12" s="20">
        <v>64</v>
      </c>
      <c r="E12" s="20">
        <v>256</v>
      </c>
      <c r="F12" s="20">
        <v>2.542601</v>
      </c>
      <c r="G12" s="20">
        <v>2603.623773</v>
      </c>
      <c r="H12" s="20">
        <v>162.73</v>
      </c>
      <c r="I12" s="20">
        <v>5207.247545</v>
      </c>
      <c r="J12" s="20">
        <v>756.498647</v>
      </c>
      <c r="K12" s="20">
        <v>21.13749</v>
      </c>
      <c r="L12" s="20">
        <v>1294.6</v>
      </c>
      <c r="M12" s="20">
        <v>26.8</v>
      </c>
      <c r="N12" s="20">
        <v>47.309306</v>
      </c>
    </row>
    <row r="13" s="14" customFormat="1" ht="14.25" spans="1:14">
      <c r="A13" s="19" t="s">
        <v>110</v>
      </c>
      <c r="B13" s="20">
        <v>1024</v>
      </c>
      <c r="C13" s="20">
        <v>1024</v>
      </c>
      <c r="D13" s="20">
        <v>128</v>
      </c>
      <c r="E13" s="20">
        <v>512</v>
      </c>
      <c r="F13" s="20">
        <v>3.856466</v>
      </c>
      <c r="G13" s="20">
        <v>3949.020829</v>
      </c>
      <c r="H13" s="20">
        <v>246.81</v>
      </c>
      <c r="I13" s="20">
        <v>7898.041658</v>
      </c>
      <c r="J13" s="20">
        <v>1666.46912</v>
      </c>
      <c r="K13" s="20">
        <v>27.782777</v>
      </c>
      <c r="L13" s="20">
        <v>4920.1</v>
      </c>
      <c r="M13" s="20">
        <v>34.4</v>
      </c>
      <c r="N13" s="20">
        <v>35.993522</v>
      </c>
    </row>
    <row r="15" s="14" customFormat="1" ht="15" spans="1:14">
      <c r="A15" s="17" t="s">
        <v>377</v>
      </c>
    </row>
    <row r="16" s="14" customFormat="1" ht="14.25" spans="1:14">
      <c r="A16" s="18" t="s">
        <v>0</v>
      </c>
      <c r="B16" s="18" t="s">
        <v>370</v>
      </c>
      <c r="C16" s="18" t="s">
        <v>371</v>
      </c>
      <c r="D16" s="18" t="s">
        <v>372</v>
      </c>
      <c r="E16" s="18" t="s">
        <v>373</v>
      </c>
      <c r="F16" s="18" t="s">
        <v>5</v>
      </c>
      <c r="G16" s="18" t="s">
        <v>6</v>
      </c>
      <c r="H16" s="18" t="s">
        <v>374</v>
      </c>
      <c r="I16" s="18" t="s">
        <v>7</v>
      </c>
      <c r="J16" s="18" t="s">
        <v>100</v>
      </c>
      <c r="K16" s="18" t="s">
        <v>101</v>
      </c>
      <c r="L16" s="18" t="s">
        <v>375</v>
      </c>
      <c r="M16" s="18" t="s">
        <v>376</v>
      </c>
      <c r="N16" s="18" t="s">
        <v>10</v>
      </c>
    </row>
    <row r="17" s="14" customFormat="1" ht="14.25" spans="1:14">
      <c r="A17" s="19" t="s">
        <v>114</v>
      </c>
      <c r="B17" s="20">
        <v>8192</v>
      </c>
      <c r="C17" s="20">
        <v>1024</v>
      </c>
      <c r="D17" s="20">
        <v>1</v>
      </c>
      <c r="E17" s="20">
        <v>32</v>
      </c>
      <c r="F17" s="20">
        <v>0.103</v>
      </c>
      <c r="G17" s="20">
        <v>105.471538</v>
      </c>
      <c r="H17" s="20">
        <v>6.59</v>
      </c>
      <c r="I17" s="20">
        <v>949.243838</v>
      </c>
      <c r="J17" s="20">
        <v>666.878967</v>
      </c>
      <c r="K17" s="20">
        <v>8.838212</v>
      </c>
      <c r="L17" s="20">
        <v>707</v>
      </c>
      <c r="M17" s="20">
        <v>10.5</v>
      </c>
      <c r="N17" s="20">
        <v>113.145063</v>
      </c>
    </row>
    <row r="18" s="14" customFormat="1" ht="14.25" spans="1:14">
      <c r="A18" s="19" t="s">
        <v>115</v>
      </c>
      <c r="B18" s="20">
        <v>8192</v>
      </c>
      <c r="C18" s="20">
        <v>1024</v>
      </c>
      <c r="D18" s="20">
        <v>2</v>
      </c>
      <c r="E18" s="20">
        <v>32</v>
      </c>
      <c r="F18" s="20">
        <v>0.202204</v>
      </c>
      <c r="G18" s="20">
        <v>207.05671</v>
      </c>
      <c r="H18" s="20">
        <v>12.94</v>
      </c>
      <c r="I18" s="20">
        <v>1863.510388</v>
      </c>
      <c r="J18" s="20">
        <v>699.10787</v>
      </c>
      <c r="K18" s="20">
        <v>8.829907</v>
      </c>
      <c r="L18" s="20">
        <v>764.9</v>
      </c>
      <c r="M18" s="20">
        <v>10.5</v>
      </c>
      <c r="N18" s="20">
        <v>113.251479</v>
      </c>
    </row>
    <row r="19" s="14" customFormat="1" ht="14.25" spans="1:14">
      <c r="A19" s="19" t="s">
        <v>116</v>
      </c>
      <c r="B19" s="20">
        <v>8192</v>
      </c>
      <c r="C19" s="20">
        <v>1024</v>
      </c>
      <c r="D19" s="20">
        <v>4</v>
      </c>
      <c r="E19" s="20">
        <v>32</v>
      </c>
      <c r="F19" s="20">
        <v>0.347289</v>
      </c>
      <c r="G19" s="20">
        <v>355.623819</v>
      </c>
      <c r="H19" s="20">
        <v>22.23</v>
      </c>
      <c r="I19" s="20">
        <v>3200.614369</v>
      </c>
      <c r="J19" s="20">
        <v>955.050884</v>
      </c>
      <c r="K19" s="20">
        <v>9.697539</v>
      </c>
      <c r="L19" s="20">
        <v>1329.2</v>
      </c>
      <c r="M19" s="20">
        <v>11.9</v>
      </c>
      <c r="N19" s="20">
        <v>103.118944</v>
      </c>
    </row>
    <row r="20" s="14" customFormat="1" ht="14.25" spans="1:14">
      <c r="A20" s="19" t="s">
        <v>117</v>
      </c>
      <c r="B20" s="20">
        <v>8192</v>
      </c>
      <c r="C20" s="20">
        <v>1024</v>
      </c>
      <c r="D20" s="20">
        <v>8</v>
      </c>
      <c r="E20" s="20">
        <v>32</v>
      </c>
      <c r="F20" s="20">
        <v>0.603722</v>
      </c>
      <c r="G20" s="20">
        <v>618.211131</v>
      </c>
      <c r="H20" s="20">
        <v>38.64</v>
      </c>
      <c r="I20" s="20">
        <v>5563.900177</v>
      </c>
      <c r="J20" s="20">
        <v>1480.258199</v>
      </c>
      <c r="K20" s="20">
        <v>10.651412</v>
      </c>
      <c r="L20" s="20">
        <v>2959.5</v>
      </c>
      <c r="M20" s="20">
        <v>13.2</v>
      </c>
      <c r="N20" s="20">
        <v>93.884265</v>
      </c>
    </row>
    <row r="21" s="14" customFormat="1" ht="14.25" spans="1:14">
      <c r="A21" s="19" t="s">
        <v>118</v>
      </c>
      <c r="B21" s="20">
        <v>8192</v>
      </c>
      <c r="C21" s="20">
        <v>1024</v>
      </c>
      <c r="D21" s="20">
        <v>16</v>
      </c>
      <c r="E21" s="20">
        <v>64</v>
      </c>
      <c r="F21" s="20">
        <v>0.930522</v>
      </c>
      <c r="G21" s="20">
        <v>952.85403</v>
      </c>
      <c r="H21" s="20">
        <v>59.55</v>
      </c>
      <c r="I21" s="20">
        <v>8575.686268</v>
      </c>
      <c r="J21" s="20">
        <v>1986.366908</v>
      </c>
      <c r="K21" s="20">
        <v>12.69692</v>
      </c>
      <c r="L21" s="20">
        <v>4470.3</v>
      </c>
      <c r="M21" s="20">
        <v>16</v>
      </c>
      <c r="N21" s="20">
        <v>78.75926</v>
      </c>
    </row>
    <row r="22" s="14" customFormat="1" ht="14.25" spans="1:14">
      <c r="A22" s="19" t="s">
        <v>119</v>
      </c>
      <c r="B22" s="20">
        <v>8192</v>
      </c>
      <c r="C22" s="20">
        <v>1024</v>
      </c>
      <c r="D22" s="20">
        <v>32</v>
      </c>
      <c r="E22" s="20">
        <v>128</v>
      </c>
      <c r="F22" s="20">
        <v>1.504735</v>
      </c>
      <c r="G22" s="20">
        <v>1540.849061</v>
      </c>
      <c r="H22" s="20">
        <v>96.3</v>
      </c>
      <c r="I22" s="20">
        <v>13867.641551</v>
      </c>
      <c r="J22" s="20">
        <v>3244.752114</v>
      </c>
      <c r="K22" s="20">
        <v>15.448442</v>
      </c>
      <c r="L22" s="20">
        <v>7999</v>
      </c>
      <c r="M22" s="20">
        <v>20.1</v>
      </c>
      <c r="N22" s="20">
        <v>64.731448</v>
      </c>
    </row>
    <row r="23" s="14" customFormat="1" ht="14.25" spans="1:14">
      <c r="A23" s="19" t="s">
        <v>120</v>
      </c>
      <c r="B23" s="20">
        <v>8192</v>
      </c>
      <c r="C23" s="20">
        <v>1024</v>
      </c>
      <c r="D23" s="20">
        <v>64</v>
      </c>
      <c r="E23" s="20">
        <v>256</v>
      </c>
      <c r="F23" s="20">
        <v>2.188395</v>
      </c>
      <c r="G23" s="20">
        <v>2240.91687</v>
      </c>
      <c r="H23" s="20">
        <v>140.06</v>
      </c>
      <c r="I23" s="20">
        <v>20168.251827</v>
      </c>
      <c r="J23" s="20">
        <v>5248.117772</v>
      </c>
      <c r="K23" s="20">
        <v>20.6308</v>
      </c>
      <c r="L23" s="20">
        <v>14128.1</v>
      </c>
      <c r="M23" s="20">
        <v>26.9</v>
      </c>
      <c r="N23" s="20">
        <v>48.471217</v>
      </c>
    </row>
    <row r="24" s="14" customFormat="1" ht="14.25" spans="1:14">
      <c r="A24" s="19" t="s">
        <v>121</v>
      </c>
      <c r="B24" s="20">
        <v>8192</v>
      </c>
      <c r="C24" s="20">
        <v>1024</v>
      </c>
      <c r="D24" s="20">
        <v>128</v>
      </c>
      <c r="E24" s="20">
        <v>512</v>
      </c>
      <c r="F24" s="20">
        <v>2.668331</v>
      </c>
      <c r="G24" s="20">
        <v>2732.37127</v>
      </c>
      <c r="H24" s="20">
        <v>170.77</v>
      </c>
      <c r="I24" s="20">
        <v>24591.341431</v>
      </c>
      <c r="J24" s="20">
        <v>19800.8968</v>
      </c>
      <c r="K24" s="20">
        <v>23.007732</v>
      </c>
      <c r="L24" s="20">
        <v>28822.1</v>
      </c>
      <c r="M24" s="20">
        <v>30.4</v>
      </c>
      <c r="N24" s="20">
        <v>43.46365</v>
      </c>
    </row>
    <row r="26" s="14" customFormat="1" ht="15" spans="1:14">
      <c r="A26" s="17" t="s">
        <v>378</v>
      </c>
    </row>
    <row r="27" s="14" customFormat="1" ht="14.25" spans="1:14">
      <c r="A27" s="18" t="s">
        <v>0</v>
      </c>
      <c r="B27" s="18" t="s">
        <v>370</v>
      </c>
      <c r="C27" s="18" t="s">
        <v>371</v>
      </c>
      <c r="D27" s="18" t="s">
        <v>372</v>
      </c>
      <c r="E27" s="18" t="s">
        <v>373</v>
      </c>
      <c r="F27" s="18" t="s">
        <v>5</v>
      </c>
      <c r="G27" s="18" t="s">
        <v>6</v>
      </c>
      <c r="H27" s="18" t="s">
        <v>374</v>
      </c>
      <c r="I27" s="18" t="s">
        <v>7</v>
      </c>
      <c r="J27" s="18" t="s">
        <v>100</v>
      </c>
      <c r="K27" s="18" t="s">
        <v>101</v>
      </c>
      <c r="L27" s="18" t="s">
        <v>375</v>
      </c>
      <c r="M27" s="18" t="s">
        <v>376</v>
      </c>
      <c r="N27" s="18" t="s">
        <v>10</v>
      </c>
    </row>
    <row r="28" s="14" customFormat="1" ht="14.25" spans="1:14">
      <c r="A28" s="19" t="s">
        <v>124</v>
      </c>
      <c r="B28" s="20">
        <v>32768</v>
      </c>
      <c r="C28" s="20">
        <v>1024</v>
      </c>
      <c r="D28" s="20">
        <v>1</v>
      </c>
      <c r="E28" s="20">
        <v>32</v>
      </c>
      <c r="F28" s="20">
        <v>0.091595</v>
      </c>
      <c r="G28" s="20">
        <v>93.793198</v>
      </c>
      <c r="H28" s="20">
        <v>5.86</v>
      </c>
      <c r="I28" s="20">
        <v>3095.175546</v>
      </c>
      <c r="J28" s="20">
        <v>1813.067118</v>
      </c>
      <c r="K28" s="20">
        <v>8.899446</v>
      </c>
      <c r="L28" s="20">
        <v>1877.3</v>
      </c>
      <c r="M28" s="20">
        <v>11.5</v>
      </c>
      <c r="N28" s="20">
        <v>112.366543</v>
      </c>
    </row>
    <row r="29" s="14" customFormat="1" ht="14.25" spans="1:14">
      <c r="A29" s="19" t="s">
        <v>125</v>
      </c>
      <c r="B29" s="20">
        <v>32768</v>
      </c>
      <c r="C29" s="20">
        <v>1024</v>
      </c>
      <c r="D29" s="20">
        <v>2</v>
      </c>
      <c r="E29" s="20">
        <v>32</v>
      </c>
      <c r="F29" s="20">
        <v>0.178384</v>
      </c>
      <c r="G29" s="20">
        <v>182.664931</v>
      </c>
      <c r="H29" s="20">
        <v>11.42</v>
      </c>
      <c r="I29" s="20">
        <v>6027.942707</v>
      </c>
      <c r="J29" s="20">
        <v>2043.829956</v>
      </c>
      <c r="K29" s="20">
        <v>8.814622</v>
      </c>
      <c r="L29" s="20">
        <v>2683</v>
      </c>
      <c r="M29" s="20">
        <v>10.9</v>
      </c>
      <c r="N29" s="20">
        <v>113.447858</v>
      </c>
    </row>
    <row r="30" s="14" customFormat="1" ht="14.25" spans="1:14">
      <c r="A30" s="19" t="s">
        <v>126</v>
      </c>
      <c r="B30" s="20">
        <v>32768</v>
      </c>
      <c r="C30" s="20">
        <v>1024</v>
      </c>
      <c r="D30" s="20">
        <v>4</v>
      </c>
      <c r="E30" s="20">
        <v>32</v>
      </c>
      <c r="F30" s="20">
        <v>0.32429</v>
      </c>
      <c r="G30" s="20">
        <v>332.072501</v>
      </c>
      <c r="H30" s="20">
        <v>20.75</v>
      </c>
      <c r="I30" s="20">
        <v>10958.39252</v>
      </c>
      <c r="J30" s="20">
        <v>2654.344887</v>
      </c>
      <c r="K30" s="20">
        <v>8.95968</v>
      </c>
      <c r="L30" s="20">
        <v>3738.3</v>
      </c>
      <c r="M30" s="20">
        <v>11.1</v>
      </c>
      <c r="N30" s="20">
        <v>111.611135</v>
      </c>
    </row>
    <row r="31" s="14" customFormat="1" ht="14.25" spans="1:14">
      <c r="A31" s="19" t="s">
        <v>127</v>
      </c>
      <c r="B31" s="20">
        <v>32768</v>
      </c>
      <c r="C31" s="20">
        <v>1024</v>
      </c>
      <c r="D31" s="20">
        <v>8</v>
      </c>
      <c r="E31" s="20">
        <v>32</v>
      </c>
      <c r="F31" s="20">
        <v>0.495761</v>
      </c>
      <c r="G31" s="20">
        <v>507.659666</v>
      </c>
      <c r="H31" s="20">
        <v>31.73</v>
      </c>
      <c r="I31" s="20">
        <v>16752.768963</v>
      </c>
      <c r="J31" s="20">
        <v>4238.859612</v>
      </c>
      <c r="K31" s="20">
        <v>10.382507</v>
      </c>
      <c r="L31" s="20">
        <v>7366.2</v>
      </c>
      <c r="M31" s="20">
        <v>12.8</v>
      </c>
      <c r="N31" s="20">
        <v>96.315851</v>
      </c>
    </row>
    <row r="32" s="14" customFormat="1" ht="14.25" spans="1:14">
      <c r="A32" s="19" t="s">
        <v>128</v>
      </c>
      <c r="B32" s="20">
        <v>32768</v>
      </c>
      <c r="C32" s="20">
        <v>1024</v>
      </c>
      <c r="D32" s="20">
        <v>16</v>
      </c>
      <c r="E32" s="20">
        <v>64</v>
      </c>
      <c r="F32" s="20">
        <v>0.656269</v>
      </c>
      <c r="G32" s="20">
        <v>672.019109</v>
      </c>
      <c r="H32" s="20">
        <v>42</v>
      </c>
      <c r="I32" s="20">
        <v>22176.630592</v>
      </c>
      <c r="J32" s="20">
        <v>10616.171331</v>
      </c>
      <c r="K32" s="20">
        <v>11.411601</v>
      </c>
      <c r="L32" s="20">
        <v>13542.1</v>
      </c>
      <c r="M32" s="20">
        <v>16.2</v>
      </c>
      <c r="N32" s="20">
        <v>87.630125</v>
      </c>
    </row>
    <row r="33" s="14" customFormat="1" ht="14.25" spans="1:14">
      <c r="A33" s="19" t="s">
        <v>129</v>
      </c>
      <c r="B33" s="20">
        <v>32768</v>
      </c>
      <c r="C33" s="20">
        <v>1024</v>
      </c>
      <c r="D33" s="20">
        <v>32</v>
      </c>
      <c r="E33" s="20">
        <v>128</v>
      </c>
      <c r="F33" s="20">
        <v>0.688216</v>
      </c>
      <c r="G33" s="20">
        <v>704.732961</v>
      </c>
      <c r="H33" s="20">
        <v>44.05</v>
      </c>
      <c r="I33" s="20">
        <v>23256.187718</v>
      </c>
      <c r="J33" s="20">
        <v>30457.524839</v>
      </c>
      <c r="K33" s="20">
        <v>10.824087</v>
      </c>
      <c r="L33" s="20">
        <v>35000.6</v>
      </c>
      <c r="M33" s="20">
        <v>13.8</v>
      </c>
      <c r="N33" s="20">
        <v>92.386546</v>
      </c>
    </row>
    <row r="34" s="14" customFormat="1" ht="14.25" spans="1:14">
      <c r="A34" s="19" t="s">
        <v>130</v>
      </c>
      <c r="B34" s="20">
        <v>32768</v>
      </c>
      <c r="C34" s="20">
        <v>1024</v>
      </c>
      <c r="D34" s="20">
        <v>64</v>
      </c>
      <c r="E34" s="20">
        <v>256</v>
      </c>
      <c r="F34" s="20">
        <v>0.705552</v>
      </c>
      <c r="G34" s="20">
        <v>722.485651</v>
      </c>
      <c r="H34" s="20">
        <v>45.16</v>
      </c>
      <c r="I34" s="20">
        <v>23842.026484</v>
      </c>
      <c r="J34" s="20">
        <v>68689.729586</v>
      </c>
      <c r="K34" s="20">
        <v>10.998118</v>
      </c>
      <c r="L34" s="20">
        <v>78204.8</v>
      </c>
      <c r="M34" s="20">
        <v>14.1</v>
      </c>
      <c r="N34" s="20">
        <v>90.924648</v>
      </c>
    </row>
    <row r="36" s="14" customFormat="1" ht="15" spans="1:14">
      <c r="A36" s="17" t="s">
        <v>379</v>
      </c>
    </row>
    <row r="37" s="14" customFormat="1" ht="14.25" spans="1:14">
      <c r="A37" s="18" t="s">
        <v>0</v>
      </c>
      <c r="B37" s="18" t="s">
        <v>370</v>
      </c>
      <c r="C37" s="18" t="s">
        <v>371</v>
      </c>
      <c r="D37" s="18" t="s">
        <v>372</v>
      </c>
      <c r="E37" s="18" t="s">
        <v>373</v>
      </c>
      <c r="F37" s="18" t="s">
        <v>5</v>
      </c>
      <c r="G37" s="18" t="s">
        <v>6</v>
      </c>
      <c r="H37" s="18" t="s">
        <v>374</v>
      </c>
      <c r="I37" s="18" t="s">
        <v>7</v>
      </c>
      <c r="J37" s="18" t="s">
        <v>100</v>
      </c>
      <c r="K37" s="18" t="s">
        <v>101</v>
      </c>
      <c r="L37" s="18" t="s">
        <v>375</v>
      </c>
      <c r="M37" s="18" t="s">
        <v>376</v>
      </c>
      <c r="N37" s="18" t="s">
        <v>10</v>
      </c>
    </row>
    <row r="38" s="14" customFormat="1" ht="14.25" spans="1:14">
      <c r="A38" s="19" t="s">
        <v>132</v>
      </c>
      <c r="B38" s="20">
        <v>1024</v>
      </c>
      <c r="C38" s="20">
        <v>16384</v>
      </c>
      <c r="D38" s="20">
        <v>1</v>
      </c>
      <c r="E38" s="20">
        <v>16</v>
      </c>
      <c r="F38" s="20">
        <v>0.007401</v>
      </c>
      <c r="G38" s="20">
        <v>121.257618</v>
      </c>
      <c r="H38" s="20">
        <v>7.58</v>
      </c>
      <c r="I38" s="20">
        <v>128.836219</v>
      </c>
      <c r="J38" s="20">
        <v>324.459503</v>
      </c>
      <c r="K38" s="20">
        <v>8.227533</v>
      </c>
      <c r="L38" s="20">
        <v>382</v>
      </c>
      <c r="M38" s="20">
        <v>8.7</v>
      </c>
      <c r="N38" s="20">
        <v>121.543113</v>
      </c>
    </row>
    <row r="39" s="14" customFormat="1" ht="14.25" spans="1:14">
      <c r="A39" s="19" t="s">
        <v>133</v>
      </c>
      <c r="B39" s="20">
        <v>1024</v>
      </c>
      <c r="C39" s="20">
        <v>16384</v>
      </c>
      <c r="D39" s="20">
        <v>2</v>
      </c>
      <c r="E39" s="20">
        <v>16</v>
      </c>
      <c r="F39" s="20">
        <v>0.012661</v>
      </c>
      <c r="G39" s="20">
        <v>207.438795</v>
      </c>
      <c r="H39" s="20">
        <v>12.96</v>
      </c>
      <c r="I39" s="20">
        <v>220.40372</v>
      </c>
      <c r="J39" s="20">
        <v>337.431294</v>
      </c>
      <c r="K39" s="20">
        <v>9.334906</v>
      </c>
      <c r="L39" s="20">
        <v>449.7</v>
      </c>
      <c r="M39" s="20">
        <v>9.9</v>
      </c>
      <c r="N39" s="20">
        <v>107.124806</v>
      </c>
    </row>
    <row r="40" s="14" customFormat="1" ht="14.25" spans="1:14">
      <c r="A40" s="19" t="s">
        <v>134</v>
      </c>
      <c r="B40" s="20">
        <v>1024</v>
      </c>
      <c r="C40" s="20">
        <v>16384</v>
      </c>
      <c r="D40" s="20">
        <v>4</v>
      </c>
      <c r="E40" s="20">
        <v>16</v>
      </c>
      <c r="F40" s="20">
        <v>0.024342</v>
      </c>
      <c r="G40" s="20">
        <v>398.811805</v>
      </c>
      <c r="H40" s="20">
        <v>24.93</v>
      </c>
      <c r="I40" s="20">
        <v>423.737543</v>
      </c>
      <c r="J40" s="20">
        <v>353.658744</v>
      </c>
      <c r="K40" s="20">
        <v>9.47002</v>
      </c>
      <c r="L40" s="20">
        <v>534.3</v>
      </c>
      <c r="M40" s="20">
        <v>10.1</v>
      </c>
      <c r="N40" s="20">
        <v>105.596397</v>
      </c>
    </row>
    <row r="41" s="14" customFormat="1" ht="14.25" spans="1:14">
      <c r="A41" s="19" t="s">
        <v>135</v>
      </c>
      <c r="B41" s="20">
        <v>1024</v>
      </c>
      <c r="C41" s="20">
        <v>16384</v>
      </c>
      <c r="D41" s="20">
        <v>8</v>
      </c>
      <c r="E41" s="20">
        <v>16</v>
      </c>
      <c r="F41" s="20">
        <v>0.042799</v>
      </c>
      <c r="G41" s="20">
        <v>701.218683</v>
      </c>
      <c r="H41" s="20">
        <v>43.83</v>
      </c>
      <c r="I41" s="20">
        <v>745.044851</v>
      </c>
      <c r="J41" s="20">
        <v>511.550958</v>
      </c>
      <c r="K41" s="20">
        <v>10.666689</v>
      </c>
      <c r="L41" s="20">
        <v>715.3</v>
      </c>
      <c r="M41" s="20">
        <v>11.4</v>
      </c>
      <c r="N41" s="20">
        <v>93.749806</v>
      </c>
    </row>
    <row r="42" s="14" customFormat="1" ht="14.25" spans="1:14">
      <c r="A42" s="19" t="s">
        <v>136</v>
      </c>
      <c r="B42" s="20">
        <v>1024</v>
      </c>
      <c r="C42" s="20">
        <v>16384</v>
      </c>
      <c r="D42" s="20">
        <v>16</v>
      </c>
      <c r="E42" s="20">
        <v>32</v>
      </c>
      <c r="F42" s="20">
        <v>0.064931</v>
      </c>
      <c r="G42" s="20">
        <v>1063.824312</v>
      </c>
      <c r="H42" s="20">
        <v>66.49</v>
      </c>
      <c r="I42" s="20">
        <v>1130.313332</v>
      </c>
      <c r="J42" s="20">
        <v>528.210437</v>
      </c>
      <c r="K42" s="20">
        <v>12.476959</v>
      </c>
      <c r="L42" s="20">
        <v>796.1</v>
      </c>
      <c r="M42" s="20">
        <v>14.3</v>
      </c>
      <c r="N42" s="20">
        <v>80.147736</v>
      </c>
    </row>
    <row r="43" s="14" customFormat="1" ht="14.25" spans="1:14">
      <c r="A43" s="19" t="s">
        <v>137</v>
      </c>
      <c r="B43" s="20">
        <v>1024</v>
      </c>
      <c r="C43" s="20">
        <v>16384</v>
      </c>
      <c r="D43" s="20">
        <v>32</v>
      </c>
      <c r="E43" s="20">
        <v>64</v>
      </c>
      <c r="F43" s="20">
        <v>0.114559</v>
      </c>
      <c r="G43" s="20">
        <v>1876.933068</v>
      </c>
      <c r="H43" s="20">
        <v>117.31</v>
      </c>
      <c r="I43" s="20">
        <v>1994.241385</v>
      </c>
      <c r="J43" s="20">
        <v>559.315361</v>
      </c>
      <c r="K43" s="20">
        <v>15.01127</v>
      </c>
      <c r="L43" s="20">
        <v>831.4</v>
      </c>
      <c r="M43" s="20">
        <v>17.1</v>
      </c>
      <c r="N43" s="20">
        <v>66.616614</v>
      </c>
    </row>
    <row r="44" s="14" customFormat="1" ht="14.25" spans="1:14">
      <c r="A44" s="19" t="s">
        <v>138</v>
      </c>
      <c r="B44" s="20">
        <v>1024</v>
      </c>
      <c r="C44" s="20">
        <v>16384</v>
      </c>
      <c r="D44" s="20">
        <v>64</v>
      </c>
      <c r="E44" s="20">
        <v>128</v>
      </c>
      <c r="F44" s="20">
        <v>0.1768</v>
      </c>
      <c r="G44" s="20">
        <v>2896.697074</v>
      </c>
      <c r="H44" s="20">
        <v>181.04</v>
      </c>
      <c r="I44" s="20">
        <v>3077.740641</v>
      </c>
      <c r="J44" s="20">
        <v>880.531593</v>
      </c>
      <c r="K44" s="20">
        <v>20.149939</v>
      </c>
      <c r="L44" s="20">
        <v>1547.4</v>
      </c>
      <c r="M44" s="20">
        <v>22.7</v>
      </c>
      <c r="N44" s="20">
        <v>49.627942</v>
      </c>
    </row>
    <row r="45" s="14" customFormat="1" ht="14.25" spans="1:14">
      <c r="A45" s="19" t="s">
        <v>380</v>
      </c>
      <c r="B45" s="20">
        <v>1024</v>
      </c>
      <c r="C45" s="20">
        <v>16384</v>
      </c>
      <c r="D45" s="20">
        <v>128</v>
      </c>
      <c r="E45" s="20">
        <v>256</v>
      </c>
      <c r="F45" s="20">
        <v>0.245312</v>
      </c>
      <c r="G45" s="20">
        <v>4003.730772</v>
      </c>
      <c r="H45" s="20">
        <v>250.23</v>
      </c>
      <c r="I45" s="20">
        <v>4254.930401</v>
      </c>
      <c r="J45" s="20">
        <v>1610.083477</v>
      </c>
      <c r="K45" s="20">
        <v>29.203337</v>
      </c>
      <c r="L45" s="20">
        <v>2284.5</v>
      </c>
      <c r="M45" s="20">
        <v>32.7</v>
      </c>
      <c r="N45" s="20">
        <v>34.242662</v>
      </c>
    </row>
    <row r="47" s="14" customFormat="1" ht="15" spans="1:14">
      <c r="A47" s="17" t="s">
        <v>381</v>
      </c>
    </row>
    <row r="48" s="14" customFormat="1" ht="14.25" spans="1:14">
      <c r="A48" s="18" t="s">
        <v>0</v>
      </c>
      <c r="B48" s="18" t="s">
        <v>370</v>
      </c>
      <c r="C48" s="18" t="s">
        <v>371</v>
      </c>
      <c r="D48" s="18" t="s">
        <v>372</v>
      </c>
      <c r="E48" s="18" t="s">
        <v>373</v>
      </c>
      <c r="F48" s="18" t="s">
        <v>5</v>
      </c>
      <c r="G48" s="18" t="s">
        <v>6</v>
      </c>
      <c r="H48" s="18" t="s">
        <v>374</v>
      </c>
      <c r="I48" s="18" t="s">
        <v>7</v>
      </c>
      <c r="J48" s="18" t="s">
        <v>100</v>
      </c>
      <c r="K48" s="18" t="s">
        <v>101</v>
      </c>
      <c r="L48" s="18" t="s">
        <v>375</v>
      </c>
      <c r="M48" s="18" t="s">
        <v>376</v>
      </c>
      <c r="N48" s="18" t="s">
        <v>10</v>
      </c>
    </row>
    <row r="49" s="14" customFormat="1" ht="14.25" spans="1:14">
      <c r="A49" s="19" t="s">
        <v>141</v>
      </c>
      <c r="B49" s="20">
        <v>8192</v>
      </c>
      <c r="C49" s="20">
        <v>16384</v>
      </c>
      <c r="D49" s="20">
        <v>1</v>
      </c>
      <c r="E49" s="20">
        <v>16</v>
      </c>
      <c r="F49" s="20">
        <v>0.007258</v>
      </c>
      <c r="G49" s="20">
        <v>118.910624</v>
      </c>
      <c r="H49" s="20">
        <v>7.43</v>
      </c>
      <c r="I49" s="20">
        <v>178.365936</v>
      </c>
      <c r="J49" s="20">
        <v>693.245424</v>
      </c>
      <c r="K49" s="20">
        <v>8.367806</v>
      </c>
      <c r="L49" s="20">
        <v>763.4</v>
      </c>
      <c r="M49" s="20">
        <v>9.3</v>
      </c>
      <c r="N49" s="20">
        <v>119.505645</v>
      </c>
    </row>
    <row r="50" s="14" customFormat="1" ht="14.25" spans="1:14">
      <c r="A50" s="19" t="s">
        <v>142</v>
      </c>
      <c r="B50" s="20">
        <v>8192</v>
      </c>
      <c r="C50" s="20">
        <v>16384</v>
      </c>
      <c r="D50" s="20">
        <v>2</v>
      </c>
      <c r="E50" s="20">
        <v>16</v>
      </c>
      <c r="F50" s="20">
        <v>0.013554</v>
      </c>
      <c r="G50" s="20">
        <v>222.076809</v>
      </c>
      <c r="H50" s="20">
        <v>13.88</v>
      </c>
      <c r="I50" s="20">
        <v>333.115213</v>
      </c>
      <c r="J50" s="20">
        <v>388.559292</v>
      </c>
      <c r="K50" s="20">
        <v>8.819998</v>
      </c>
      <c r="L50" s="20">
        <v>488.1</v>
      </c>
      <c r="M50" s="20">
        <v>9.7</v>
      </c>
      <c r="N50" s="20">
        <v>113.378712</v>
      </c>
    </row>
    <row r="51" s="14" customFormat="1" ht="14.25" spans="1:14">
      <c r="A51" s="19" t="s">
        <v>143</v>
      </c>
      <c r="B51" s="20">
        <v>8192</v>
      </c>
      <c r="C51" s="20">
        <v>16384</v>
      </c>
      <c r="D51" s="20">
        <v>4</v>
      </c>
      <c r="E51" s="20">
        <v>16</v>
      </c>
      <c r="F51" s="20">
        <v>0.024932</v>
      </c>
      <c r="G51" s="20">
        <v>408.484526</v>
      </c>
      <c r="H51" s="20">
        <v>25.53</v>
      </c>
      <c r="I51" s="20">
        <v>612.726789</v>
      </c>
      <c r="J51" s="20">
        <v>410.007512</v>
      </c>
      <c r="K51" s="20">
        <v>9.173523</v>
      </c>
      <c r="L51" s="20">
        <v>612.8</v>
      </c>
      <c r="M51" s="20">
        <v>10.9</v>
      </c>
      <c r="N51" s="20">
        <v>109.009373</v>
      </c>
    </row>
    <row r="52" s="14" customFormat="1" ht="14.25" spans="1:14">
      <c r="A52" s="19" t="s">
        <v>144</v>
      </c>
      <c r="B52" s="20">
        <v>8192</v>
      </c>
      <c r="C52" s="20">
        <v>16384</v>
      </c>
      <c r="D52" s="20">
        <v>8</v>
      </c>
      <c r="E52" s="20">
        <v>16</v>
      </c>
      <c r="F52" s="20">
        <v>0.041233</v>
      </c>
      <c r="G52" s="20">
        <v>675.558722</v>
      </c>
      <c r="H52" s="20">
        <v>42.22</v>
      </c>
      <c r="I52" s="20">
        <v>1013.338084</v>
      </c>
      <c r="J52" s="20">
        <v>565.587797</v>
      </c>
      <c r="K52" s="20">
        <v>10.523642</v>
      </c>
      <c r="L52" s="20">
        <v>793.9</v>
      </c>
      <c r="M52" s="20">
        <v>11.8</v>
      </c>
      <c r="N52" s="20">
        <v>95.02414</v>
      </c>
    </row>
    <row r="53" s="14" customFormat="1" ht="14.25" spans="1:14">
      <c r="A53" s="19" t="s">
        <v>145</v>
      </c>
      <c r="B53" s="20">
        <v>8192</v>
      </c>
      <c r="C53" s="20">
        <v>16384</v>
      </c>
      <c r="D53" s="20">
        <v>16</v>
      </c>
      <c r="E53" s="20">
        <v>32</v>
      </c>
      <c r="F53" s="20">
        <v>0.072211</v>
      </c>
      <c r="G53" s="20">
        <v>1183.103899</v>
      </c>
      <c r="H53" s="20">
        <v>73.94</v>
      </c>
      <c r="I53" s="20">
        <v>1774.655848</v>
      </c>
      <c r="J53" s="20">
        <v>967.670686</v>
      </c>
      <c r="K53" s="20">
        <v>11.93279</v>
      </c>
      <c r="L53" s="20">
        <v>1207.7</v>
      </c>
      <c r="M53" s="20">
        <v>13.5</v>
      </c>
      <c r="N53" s="20">
        <v>83.802698</v>
      </c>
    </row>
    <row r="54" s="14" customFormat="1" ht="14.25" spans="1:14">
      <c r="A54" s="19" t="s">
        <v>146</v>
      </c>
      <c r="B54" s="20">
        <v>8192</v>
      </c>
      <c r="C54" s="20">
        <v>16384</v>
      </c>
      <c r="D54" s="20">
        <v>32</v>
      </c>
      <c r="E54" s="20">
        <v>64</v>
      </c>
      <c r="F54" s="20">
        <v>0.106977</v>
      </c>
      <c r="G54" s="20">
        <v>1752.710941</v>
      </c>
      <c r="H54" s="20">
        <v>109.54</v>
      </c>
      <c r="I54" s="20">
        <v>2629.066412</v>
      </c>
      <c r="J54" s="20">
        <v>3776.370726</v>
      </c>
      <c r="K54" s="20">
        <v>15.60809</v>
      </c>
      <c r="L54" s="20">
        <v>9736.4</v>
      </c>
      <c r="M54" s="20">
        <v>19.4</v>
      </c>
      <c r="N54" s="20">
        <v>64.06934</v>
      </c>
    </row>
    <row r="55" s="14" customFormat="1" ht="14.25" spans="1:14">
      <c r="A55" s="19" t="s">
        <v>382</v>
      </c>
      <c r="B55" s="20">
        <v>8192</v>
      </c>
      <c r="C55" s="20">
        <v>16384</v>
      </c>
      <c r="D55" s="20">
        <v>64</v>
      </c>
      <c r="E55" s="20">
        <v>128</v>
      </c>
      <c r="F55" s="20">
        <v>0.15363</v>
      </c>
      <c r="G55" s="20">
        <v>2517.067336</v>
      </c>
      <c r="H55" s="20">
        <v>157.32</v>
      </c>
      <c r="I55" s="20">
        <v>3775.601004</v>
      </c>
      <c r="J55" s="20">
        <v>6548.806435</v>
      </c>
      <c r="K55" s="20">
        <v>21.768884</v>
      </c>
      <c r="L55" s="20">
        <v>18493.4</v>
      </c>
      <c r="M55" s="20">
        <v>24.5</v>
      </c>
      <c r="N55" s="20">
        <v>45.937128</v>
      </c>
    </row>
    <row r="57" s="14" customFormat="1" ht="15" spans="1:14">
      <c r="A57" s="17" t="s">
        <v>383</v>
      </c>
    </row>
    <row r="58" s="14" customFormat="1" ht="14.25" spans="1:14">
      <c r="A58" s="18" t="s">
        <v>0</v>
      </c>
      <c r="B58" s="18" t="s">
        <v>370</v>
      </c>
      <c r="C58" s="18" t="s">
        <v>371</v>
      </c>
      <c r="D58" s="18" t="s">
        <v>372</v>
      </c>
      <c r="E58" s="18" t="s">
        <v>373</v>
      </c>
      <c r="F58" s="18" t="s">
        <v>5</v>
      </c>
      <c r="G58" s="18" t="s">
        <v>6</v>
      </c>
      <c r="H58" s="18" t="s">
        <v>374</v>
      </c>
      <c r="I58" s="18" t="s">
        <v>7</v>
      </c>
      <c r="J58" s="18" t="s">
        <v>100</v>
      </c>
      <c r="K58" s="18" t="s">
        <v>101</v>
      </c>
      <c r="L58" s="18" t="s">
        <v>375</v>
      </c>
      <c r="M58" s="18" t="s">
        <v>376</v>
      </c>
      <c r="N58" s="18" t="s">
        <v>10</v>
      </c>
    </row>
    <row r="59" s="14" customFormat="1" ht="14.25" spans="1:14">
      <c r="A59" s="19" t="s">
        <v>384</v>
      </c>
      <c r="B59" s="20">
        <v>32768</v>
      </c>
      <c r="C59" s="20">
        <v>16384</v>
      </c>
      <c r="D59" s="20">
        <v>1</v>
      </c>
      <c r="E59" s="20">
        <v>16</v>
      </c>
      <c r="F59" s="20">
        <v>0.007465</v>
      </c>
      <c r="G59" s="20">
        <v>122.303993</v>
      </c>
      <c r="H59" s="20">
        <v>7.64</v>
      </c>
      <c r="I59" s="20">
        <v>366.911979</v>
      </c>
      <c r="J59" s="20">
        <v>1827.689541</v>
      </c>
      <c r="K59" s="20">
        <v>8.065216</v>
      </c>
      <c r="L59" s="20">
        <v>1978.1</v>
      </c>
      <c r="M59" s="20">
        <v>9.2</v>
      </c>
      <c r="N59" s="20">
        <v>123.989233</v>
      </c>
    </row>
    <row r="60" s="14" customFormat="1" ht="14.25" spans="1:14">
      <c r="A60" s="19" t="s">
        <v>385</v>
      </c>
      <c r="B60" s="20">
        <v>32768</v>
      </c>
      <c r="C60" s="20">
        <v>16384</v>
      </c>
      <c r="D60" s="20">
        <v>2</v>
      </c>
      <c r="E60" s="20">
        <v>16</v>
      </c>
      <c r="F60" s="20">
        <v>0.01388</v>
      </c>
      <c r="G60" s="20">
        <v>227.406083</v>
      </c>
      <c r="H60" s="20">
        <v>14.21</v>
      </c>
      <c r="I60" s="20">
        <v>682.21825</v>
      </c>
      <c r="J60" s="20">
        <v>1902.350222</v>
      </c>
      <c r="K60" s="20">
        <v>8.656053</v>
      </c>
      <c r="L60" s="20">
        <v>1975.5</v>
      </c>
      <c r="M60" s="20">
        <v>9.6</v>
      </c>
      <c r="N60" s="20">
        <v>115.526092</v>
      </c>
    </row>
    <row r="61" s="14" customFormat="1" ht="14.25" spans="1:14">
      <c r="A61" s="19" t="s">
        <v>386</v>
      </c>
      <c r="B61" s="20">
        <v>32768</v>
      </c>
      <c r="C61" s="20">
        <v>16384</v>
      </c>
      <c r="D61" s="20">
        <v>4</v>
      </c>
      <c r="E61" s="20">
        <v>16</v>
      </c>
      <c r="F61" s="20">
        <v>0.022684</v>
      </c>
      <c r="G61" s="20">
        <v>371.661782</v>
      </c>
      <c r="H61" s="20">
        <v>23.23</v>
      </c>
      <c r="I61" s="20">
        <v>1114.985345</v>
      </c>
      <c r="J61" s="20">
        <v>2385.684361</v>
      </c>
      <c r="K61" s="20">
        <v>10.064156</v>
      </c>
      <c r="L61" s="20">
        <v>3782.1</v>
      </c>
      <c r="M61" s="20">
        <v>11.7</v>
      </c>
      <c r="N61" s="20">
        <v>99.362533</v>
      </c>
    </row>
    <row r="62" s="14" customFormat="1" ht="14.25" spans="1:14">
      <c r="A62" s="19" t="s">
        <v>387</v>
      </c>
      <c r="B62" s="20">
        <v>32768</v>
      </c>
      <c r="C62" s="20">
        <v>16384</v>
      </c>
      <c r="D62" s="20">
        <v>8</v>
      </c>
      <c r="E62" s="20">
        <v>16</v>
      </c>
      <c r="F62" s="20">
        <v>0.041179</v>
      </c>
      <c r="G62" s="20">
        <v>674.668996</v>
      </c>
      <c r="H62" s="20">
        <v>42.17</v>
      </c>
      <c r="I62" s="20">
        <v>2024.006988</v>
      </c>
      <c r="J62" s="20">
        <v>4406.833362</v>
      </c>
      <c r="K62" s="20">
        <v>10.263188</v>
      </c>
      <c r="L62" s="20">
        <v>9425.3</v>
      </c>
      <c r="M62" s="20">
        <v>11.7</v>
      </c>
      <c r="N62" s="20">
        <v>97.435615</v>
      </c>
    </row>
    <row r="63" s="14" customFormat="1" ht="14.25" spans="1:14">
      <c r="A63" s="19" t="s">
        <v>388</v>
      </c>
      <c r="B63" s="20">
        <v>32768</v>
      </c>
      <c r="C63" s="20">
        <v>16384</v>
      </c>
      <c r="D63" s="20">
        <v>16</v>
      </c>
      <c r="E63" s="20">
        <v>32</v>
      </c>
      <c r="F63" s="20">
        <v>0.0673</v>
      </c>
      <c r="G63" s="20">
        <v>1102.645588</v>
      </c>
      <c r="H63" s="20">
        <v>68.92</v>
      </c>
      <c r="I63" s="20">
        <v>3307.936765</v>
      </c>
      <c r="J63" s="20">
        <v>7203.108589</v>
      </c>
      <c r="K63" s="20">
        <v>12.8363</v>
      </c>
      <c r="L63" s="20">
        <v>17932.5</v>
      </c>
      <c r="M63" s="20">
        <v>14.7</v>
      </c>
      <c r="N63" s="20">
        <v>77.90407</v>
      </c>
    </row>
    <row r="64" s="14" customFormat="1" ht="14.25" spans="1:14">
      <c r="A64" s="19" t="s">
        <v>389</v>
      </c>
      <c r="B64" s="20">
        <v>32768</v>
      </c>
      <c r="C64" s="20">
        <v>16384</v>
      </c>
      <c r="D64" s="20">
        <v>32</v>
      </c>
      <c r="E64" s="20">
        <v>64</v>
      </c>
      <c r="F64" s="20">
        <v>0.088484</v>
      </c>
      <c r="G64" s="20">
        <v>1449.723662</v>
      </c>
      <c r="H64" s="20">
        <v>90.61</v>
      </c>
      <c r="I64" s="20">
        <v>4349.170987</v>
      </c>
      <c r="J64" s="20">
        <v>12880.250622</v>
      </c>
      <c r="K64" s="20">
        <v>17.123264</v>
      </c>
      <c r="L64" s="20">
        <v>35578.1</v>
      </c>
      <c r="M64" s="20">
        <v>19.8</v>
      </c>
      <c r="N64" s="20">
        <v>58.400079</v>
      </c>
    </row>
    <row r="66" s="14" customFormat="1" ht="15" spans="1:14">
      <c r="A66" s="17" t="s">
        <v>390</v>
      </c>
    </row>
    <row r="67" s="14" customFormat="1" ht="14.25" spans="1:14">
      <c r="A67" s="18" t="s">
        <v>0</v>
      </c>
      <c r="B67" s="18" t="s">
        <v>370</v>
      </c>
      <c r="C67" s="18" t="s">
        <v>371</v>
      </c>
      <c r="D67" s="18" t="s">
        <v>372</v>
      </c>
      <c r="E67" s="18" t="s">
        <v>373</v>
      </c>
      <c r="F67" s="18" t="s">
        <v>5</v>
      </c>
      <c r="G67" s="18" t="s">
        <v>6</v>
      </c>
      <c r="H67" s="18" t="s">
        <v>374</v>
      </c>
      <c r="I67" s="18" t="s">
        <v>7</v>
      </c>
      <c r="J67" s="18" t="s">
        <v>100</v>
      </c>
      <c r="K67" s="18" t="s">
        <v>101</v>
      </c>
      <c r="L67" s="18" t="s">
        <v>375</v>
      </c>
      <c r="M67" s="18" t="s">
        <v>376</v>
      </c>
      <c r="N67" s="18" t="s">
        <v>10</v>
      </c>
    </row>
    <row r="68" s="14" customFormat="1" ht="14.25" spans="1:14">
      <c r="A68" s="19" t="s">
        <v>391</v>
      </c>
      <c r="B68" s="20">
        <v>65536</v>
      </c>
      <c r="C68" s="20">
        <v>1024</v>
      </c>
      <c r="D68" s="20">
        <v>1</v>
      </c>
      <c r="E68" s="20">
        <v>16</v>
      </c>
      <c r="F68" s="20">
        <v>0.086472</v>
      </c>
      <c r="G68" s="20">
        <v>88.547248</v>
      </c>
      <c r="H68" s="20">
        <v>5.53</v>
      </c>
      <c r="I68" s="20">
        <v>5755.571142</v>
      </c>
      <c r="J68" s="20">
        <v>3336.30145</v>
      </c>
      <c r="K68" s="20">
        <v>8.042574</v>
      </c>
      <c r="L68" s="20">
        <v>3521.5</v>
      </c>
      <c r="M68" s="20">
        <v>9.7</v>
      </c>
      <c r="N68" s="20">
        <v>124.338306</v>
      </c>
    </row>
    <row r="69" s="14" customFormat="1" ht="14.25" spans="1:14">
      <c r="A69" s="19" t="s">
        <v>392</v>
      </c>
      <c r="B69" s="20">
        <v>65536</v>
      </c>
      <c r="C69" s="20">
        <v>1024</v>
      </c>
      <c r="D69" s="20">
        <v>2</v>
      </c>
      <c r="E69" s="20">
        <v>16</v>
      </c>
      <c r="F69" s="20">
        <v>0.160886</v>
      </c>
      <c r="G69" s="20">
        <v>164.747028</v>
      </c>
      <c r="H69" s="20">
        <v>10.3</v>
      </c>
      <c r="I69" s="20">
        <v>10708.556851</v>
      </c>
      <c r="J69" s="20">
        <v>4273.881875</v>
      </c>
      <c r="K69" s="20">
        <v>7.771041</v>
      </c>
      <c r="L69" s="20">
        <v>5526.6</v>
      </c>
      <c r="M69" s="20">
        <v>9.4</v>
      </c>
      <c r="N69" s="20">
        <v>128.682888</v>
      </c>
    </row>
    <row r="70" s="14" customFormat="1" ht="14.25" spans="1:14">
      <c r="A70" s="19" t="s">
        <v>393</v>
      </c>
      <c r="B70" s="20">
        <v>65536</v>
      </c>
      <c r="C70" s="20">
        <v>1024</v>
      </c>
      <c r="D70" s="20">
        <v>4</v>
      </c>
      <c r="E70" s="20">
        <v>16</v>
      </c>
      <c r="F70" s="20">
        <v>0.282111</v>
      </c>
      <c r="G70" s="20">
        <v>288.882089</v>
      </c>
      <c r="H70" s="20">
        <v>18.06</v>
      </c>
      <c r="I70" s="20">
        <v>18777.335783</v>
      </c>
      <c r="J70" s="20">
        <v>5615.093277</v>
      </c>
      <c r="K70" s="20">
        <v>7.632002</v>
      </c>
      <c r="L70" s="20">
        <v>7614.5</v>
      </c>
      <c r="M70" s="20">
        <v>9.5</v>
      </c>
      <c r="N70" s="20">
        <v>131.027213</v>
      </c>
    </row>
    <row r="71" s="14" customFormat="1" ht="14.25" spans="1:14">
      <c r="A71" s="19" t="s">
        <v>394</v>
      </c>
      <c r="B71" s="20">
        <v>65536</v>
      </c>
      <c r="C71" s="20">
        <v>1024</v>
      </c>
      <c r="D71" s="20">
        <v>8</v>
      </c>
      <c r="E71" s="20">
        <v>16</v>
      </c>
      <c r="F71" s="20">
        <v>0.301894</v>
      </c>
      <c r="G71" s="20">
        <v>309.139289</v>
      </c>
      <c r="H71" s="20">
        <v>19.32</v>
      </c>
      <c r="I71" s="20">
        <v>20094.053809</v>
      </c>
      <c r="J71" s="20">
        <v>14181.679951</v>
      </c>
      <c r="K71" s="20">
        <v>7.495124</v>
      </c>
      <c r="L71" s="20">
        <v>18619.2</v>
      </c>
      <c r="M71" s="20">
        <v>8.9</v>
      </c>
      <c r="N71" s="20">
        <v>133.420077</v>
      </c>
    </row>
    <row r="72" s="14" customFormat="1" ht="14.25" spans="1:14">
      <c r="A72" s="19" t="s">
        <v>395</v>
      </c>
      <c r="B72" s="20">
        <v>65536</v>
      </c>
      <c r="C72" s="20">
        <v>1024</v>
      </c>
      <c r="D72" s="20">
        <v>16</v>
      </c>
      <c r="E72" s="20">
        <v>32</v>
      </c>
      <c r="F72" s="20">
        <v>0.312815</v>
      </c>
      <c r="G72" s="20">
        <v>320.32262</v>
      </c>
      <c r="H72" s="20">
        <v>20.02</v>
      </c>
      <c r="I72" s="20">
        <v>20820.970296</v>
      </c>
      <c r="J72" s="20">
        <v>32123.916404</v>
      </c>
      <c r="K72" s="20">
        <v>8.065073</v>
      </c>
      <c r="L72" s="20">
        <v>40814.2</v>
      </c>
      <c r="M72" s="20">
        <v>9.9</v>
      </c>
      <c r="N72" s="20">
        <v>123.991432</v>
      </c>
    </row>
    <row r="73" s="14" customFormat="1" ht="14.25" spans="1:14">
      <c r="A73" s="19" t="s">
        <v>396</v>
      </c>
      <c r="B73" s="20">
        <v>65536</v>
      </c>
      <c r="C73" s="20">
        <v>1024</v>
      </c>
      <c r="D73" s="20">
        <v>32</v>
      </c>
      <c r="E73" s="20">
        <v>64</v>
      </c>
      <c r="F73" s="20">
        <v>0.325603</v>
      </c>
      <c r="G73" s="20">
        <v>333.417256</v>
      </c>
      <c r="H73" s="20">
        <v>20.84</v>
      </c>
      <c r="I73" s="20">
        <v>21672.121619</v>
      </c>
      <c r="J73" s="20">
        <v>67286.889419</v>
      </c>
      <c r="K73" s="20">
        <v>8.297162</v>
      </c>
      <c r="L73" s="20">
        <v>88055.4</v>
      </c>
      <c r="M73" s="20">
        <v>10.2</v>
      </c>
      <c r="N73" s="20">
        <v>120.523136</v>
      </c>
    </row>
    <row r="75" s="14" customFormat="1" ht="15" spans="1:14">
      <c r="A75" s="17" t="s">
        <v>397</v>
      </c>
    </row>
    <row r="76" s="14" customFormat="1" ht="14.25" spans="1:14">
      <c r="A76" s="18" t="s">
        <v>0</v>
      </c>
      <c r="B76" s="18" t="s">
        <v>370</v>
      </c>
      <c r="C76" s="18" t="s">
        <v>371</v>
      </c>
      <c r="D76" s="18" t="s">
        <v>372</v>
      </c>
      <c r="E76" s="18" t="s">
        <v>373</v>
      </c>
      <c r="F76" s="18" t="s">
        <v>5</v>
      </c>
      <c r="G76" s="18" t="s">
        <v>6</v>
      </c>
      <c r="H76" s="18" t="s">
        <v>374</v>
      </c>
      <c r="I76" s="18" t="s">
        <v>7</v>
      </c>
      <c r="J76" s="18" t="s">
        <v>100</v>
      </c>
      <c r="K76" s="18" t="s">
        <v>101</v>
      </c>
      <c r="L76" s="18" t="s">
        <v>375</v>
      </c>
      <c r="M76" s="18" t="s">
        <v>376</v>
      </c>
      <c r="N76" s="18" t="s">
        <v>10</v>
      </c>
    </row>
    <row r="77" s="14" customFormat="1" ht="14.25" spans="1:14">
      <c r="A77" s="19" t="s">
        <v>398</v>
      </c>
      <c r="B77" s="20">
        <v>131072</v>
      </c>
      <c r="C77" s="20">
        <v>1024</v>
      </c>
      <c r="D77" s="20">
        <v>1</v>
      </c>
      <c r="E77" s="20">
        <v>16</v>
      </c>
      <c r="F77" s="20">
        <v>0.05567</v>
      </c>
      <c r="G77" s="20">
        <v>57.005619</v>
      </c>
      <c r="H77" s="20">
        <v>3.56</v>
      </c>
      <c r="I77" s="20">
        <v>7353.724904</v>
      </c>
      <c r="J77" s="20">
        <v>7177.439221</v>
      </c>
      <c r="K77" s="20">
        <v>10.542537</v>
      </c>
      <c r="L77" s="20">
        <v>7669.5</v>
      </c>
      <c r="M77" s="20">
        <v>14.2</v>
      </c>
      <c r="N77" s="20">
        <v>94.85383</v>
      </c>
    </row>
    <row r="78" s="14" customFormat="1" ht="14.25" spans="1:14">
      <c r="A78" s="19" t="s">
        <v>399</v>
      </c>
      <c r="B78" s="20">
        <v>131072</v>
      </c>
      <c r="C78" s="20">
        <v>1024</v>
      </c>
      <c r="D78" s="20">
        <v>2</v>
      </c>
      <c r="E78" s="20">
        <v>16</v>
      </c>
      <c r="F78" s="20">
        <v>0.111028</v>
      </c>
      <c r="G78" s="20">
        <v>113.692171</v>
      </c>
      <c r="H78" s="20">
        <v>7.11</v>
      </c>
      <c r="I78" s="20">
        <v>14666.290071</v>
      </c>
      <c r="J78" s="20">
        <v>7819.28004</v>
      </c>
      <c r="K78" s="20">
        <v>9.920178</v>
      </c>
      <c r="L78" s="20">
        <v>9202.5</v>
      </c>
      <c r="M78" s="20">
        <v>13.4</v>
      </c>
      <c r="N78" s="20">
        <v>100.804648</v>
      </c>
    </row>
    <row r="79" s="14" customFormat="1" ht="14.25" spans="1:14">
      <c r="A79" s="19" t="s">
        <v>400</v>
      </c>
      <c r="B79" s="20">
        <v>131072</v>
      </c>
      <c r="C79" s="20">
        <v>1024</v>
      </c>
      <c r="D79" s="20">
        <v>4</v>
      </c>
      <c r="E79" s="20">
        <v>16</v>
      </c>
      <c r="F79" s="20">
        <v>0.135876</v>
      </c>
      <c r="G79" s="20">
        <v>139.136512</v>
      </c>
      <c r="H79" s="20">
        <v>8.7</v>
      </c>
      <c r="I79" s="20">
        <v>17948.610109</v>
      </c>
      <c r="J79" s="20">
        <v>17298.63197</v>
      </c>
      <c r="K79" s="20">
        <v>9.58794</v>
      </c>
      <c r="L79" s="20">
        <v>20874</v>
      </c>
      <c r="M79" s="20">
        <v>13.9</v>
      </c>
      <c r="N79" s="20">
        <v>104.297688</v>
      </c>
    </row>
    <row r="80" s="14" customFormat="1" ht="14.25" spans="1:14">
      <c r="A80" s="19" t="s">
        <v>401</v>
      </c>
      <c r="B80" s="20">
        <v>131072</v>
      </c>
      <c r="C80" s="20">
        <v>1024</v>
      </c>
      <c r="D80" s="20">
        <v>8</v>
      </c>
      <c r="E80" s="20">
        <v>16</v>
      </c>
      <c r="F80" s="20">
        <v>0.138929</v>
      </c>
      <c r="G80" s="20">
        <v>142.26296</v>
      </c>
      <c r="H80" s="20">
        <v>8.89</v>
      </c>
      <c r="I80" s="20">
        <v>18351.921893</v>
      </c>
      <c r="J80" s="20">
        <v>36766.366166</v>
      </c>
      <c r="K80" s="20">
        <v>9.295</v>
      </c>
      <c r="L80" s="20">
        <v>48127</v>
      </c>
      <c r="M80" s="20">
        <v>13.5</v>
      </c>
      <c r="N80" s="20">
        <v>107.584723</v>
      </c>
    </row>
    <row r="81" s="14" customFormat="1" ht="14.25" spans="1:14">
      <c r="A81" s="19" t="s">
        <v>402</v>
      </c>
      <c r="B81" s="20">
        <v>131072</v>
      </c>
      <c r="C81" s="20">
        <v>1024</v>
      </c>
      <c r="D81" s="20">
        <v>16</v>
      </c>
      <c r="E81" s="20">
        <v>32</v>
      </c>
      <c r="F81" s="20">
        <v>0.139938</v>
      </c>
      <c r="G81" s="20">
        <v>143.296033</v>
      </c>
      <c r="H81" s="20">
        <v>8.96</v>
      </c>
      <c r="I81" s="20">
        <v>18485.188274</v>
      </c>
      <c r="J81" s="20">
        <v>78461.294844</v>
      </c>
      <c r="K81" s="20">
        <v>9.414252</v>
      </c>
      <c r="L81" s="20">
        <v>103851.1</v>
      </c>
      <c r="M81" s="20">
        <v>13.3</v>
      </c>
      <c r="N81" s="20">
        <v>106.221933</v>
      </c>
    </row>
    <row r="84" s="14" customFormat="1" ht="15" spans="1:14">
      <c r="A84" s="17" t="s">
        <v>403</v>
      </c>
    </row>
    <row r="85" s="14" customFormat="1" ht="16.5" spans="1:14">
      <c r="A85" s="21" t="s">
        <v>353</v>
      </c>
      <c r="B85" s="22" t="s">
        <v>404</v>
      </c>
    </row>
    <row r="86" s="14" customFormat="1" ht="16.5" spans="1:14">
      <c r="A86" s="21" t="s">
        <v>405</v>
      </c>
      <c r="B86" s="22" t="s">
        <v>406</v>
      </c>
    </row>
    <row r="87" s="14" customFormat="1" ht="16.5" spans="1:14">
      <c r="A87" s="21" t="s">
        <v>407</v>
      </c>
      <c r="B87" s="22" t="s">
        <v>408</v>
      </c>
    </row>
    <row r="88" s="14" customFormat="1" ht="16.5" spans="1:14">
      <c r="A88" s="21" t="s">
        <v>409</v>
      </c>
      <c r="B88" s="22" t="s">
        <v>197</v>
      </c>
    </row>
    <row r="89" s="14" customFormat="1" ht="16.5" spans="1:14">
      <c r="A89" s="21" t="s">
        <v>355</v>
      </c>
      <c r="B89" s="22" t="s">
        <v>410</v>
      </c>
    </row>
    <row r="90" s="14" customFormat="1" ht="16.5" spans="1:14">
      <c r="A90" s="21" t="s">
        <v>357</v>
      </c>
      <c r="B90" s="22" t="s">
        <v>411</v>
      </c>
    </row>
    <row r="91" s="14" customFormat="1" ht="16.5" spans="1:14">
      <c r="A91" s="21" t="s">
        <v>359</v>
      </c>
      <c r="B91" s="22" t="s">
        <v>412</v>
      </c>
    </row>
    <row r="92" s="14" customFormat="1" ht="16.5" spans="1:14">
      <c r="A92" s="21" t="s">
        <v>413</v>
      </c>
      <c r="B92" s="22" t="s">
        <v>414</v>
      </c>
    </row>
    <row r="93" s="14" customFormat="1" ht="16.5" spans="1:14">
      <c r="A93" s="21" t="s">
        <v>415</v>
      </c>
      <c r="B93" s="22" t="s">
        <v>416</v>
      </c>
    </row>
  </sheetData>
  <sheetProtection formatCells="0" formatColumns="0" formatRows="0" insertRows="0" insertColumns="0" insertHyperlinks="0" deleteColumns="0" deleteRows="0" sort="0" autoFilter="0" pivotTables="0"/>
  <mergeCells count="19">
    <mergeCell ref="A1:N1"/>
    <mergeCell ref="A2:N2"/>
    <mergeCell ref="A4:N4"/>
    <mergeCell ref="A15:N15"/>
    <mergeCell ref="A26:N26"/>
    <mergeCell ref="A36:N36"/>
    <mergeCell ref="A47:N47"/>
    <mergeCell ref="A57:N57"/>
    <mergeCell ref="A66:N66"/>
    <mergeCell ref="A75:N75"/>
    <mergeCell ref="B85:N85"/>
    <mergeCell ref="B86:N86"/>
    <mergeCell ref="B87:N87"/>
    <mergeCell ref="B88:N88"/>
    <mergeCell ref="B89:N89"/>
    <mergeCell ref="B90:N90"/>
    <mergeCell ref="B91:N91"/>
    <mergeCell ref="B92:N92"/>
    <mergeCell ref="B93:N93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1"/>
  <sheetViews>
    <sheetView topLeftCell="A3" workbookViewId="0">
      <selection activeCell="A3" sqref="$A3:$XFD62"/>
    </sheetView>
  </sheetViews>
  <sheetFormatPr defaultColWidth="9" defaultRowHeight="13.5"/>
  <cols>
    <col min="1" max="1" width="29.875" customWidth="1"/>
    <col min="6" max="10" width="12.625"/>
  </cols>
  <sheetData>
    <row r="1" ht="40.5" spans="1:11">
      <c r="A1" s="13" t="s">
        <v>11</v>
      </c>
      <c r="B1" s="13" t="s">
        <v>1</v>
      </c>
      <c r="C1" s="13" t="s">
        <v>2</v>
      </c>
      <c r="D1" s="13" t="s">
        <v>3</v>
      </c>
      <c r="E1" s="13" t="s">
        <v>12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t="s">
        <v>10</v>
      </c>
    </row>
    <row r="2" spans="1:11">
      <c r="A2" t="s">
        <v>38</v>
      </c>
      <c r="B2" s="9">
        <v>1024</v>
      </c>
      <c r="C2" s="9">
        <v>1024</v>
      </c>
      <c r="D2" s="9">
        <v>1</v>
      </c>
      <c r="E2" s="9">
        <v>32</v>
      </c>
      <c r="F2" s="11">
        <v>44.4975645</v>
      </c>
      <c r="G2" s="11">
        <v>42.3274557</v>
      </c>
      <c r="H2" s="11">
        <v>86.8250203</v>
      </c>
      <c r="I2" s="11">
        <v>417.323667</v>
      </c>
      <c r="J2" s="11">
        <v>23.2400416</v>
      </c>
      <c r="K2" s="12">
        <f t="shared" ref="K2:K33" si="0">1000/J2</f>
        <v>43.0291828737518</v>
      </c>
    </row>
    <row r="3" spans="1:11">
      <c r="A3" t="s">
        <v>39</v>
      </c>
      <c r="B3" s="9">
        <v>1024</v>
      </c>
      <c r="C3" s="9">
        <v>1024</v>
      </c>
      <c r="D3" s="9">
        <v>2</v>
      </c>
      <c r="E3" s="9">
        <v>32</v>
      </c>
      <c r="F3" s="11">
        <v>80.3590382</v>
      </c>
      <c r="G3" s="11">
        <v>76.4399955</v>
      </c>
      <c r="H3" s="11">
        <v>156.799034</v>
      </c>
      <c r="I3" s="11">
        <v>648.655316</v>
      </c>
      <c r="J3" s="11">
        <v>25.554126</v>
      </c>
      <c r="K3" s="12">
        <f t="shared" si="0"/>
        <v>39.1326238275572</v>
      </c>
    </row>
    <row r="4" spans="1:11">
      <c r="A4" t="s">
        <v>40</v>
      </c>
      <c r="B4" s="9">
        <v>1024</v>
      </c>
      <c r="C4" s="9">
        <v>1024</v>
      </c>
      <c r="D4" s="9">
        <v>4</v>
      </c>
      <c r="E4" s="9">
        <v>32</v>
      </c>
      <c r="F4" s="11">
        <v>162.37584</v>
      </c>
      <c r="G4" s="11">
        <v>154.456907</v>
      </c>
      <c r="H4" s="11">
        <v>316.832747</v>
      </c>
      <c r="I4" s="11">
        <v>1335.5806</v>
      </c>
      <c r="J4" s="11">
        <v>24.6138366</v>
      </c>
      <c r="K4" s="12">
        <f t="shared" si="0"/>
        <v>40.6275549907567</v>
      </c>
    </row>
    <row r="5" spans="1:11">
      <c r="A5" t="s">
        <v>41</v>
      </c>
      <c r="B5" s="9">
        <v>1024</v>
      </c>
      <c r="C5" s="9">
        <v>1024</v>
      </c>
      <c r="D5" s="9">
        <v>8</v>
      </c>
      <c r="E5" s="9">
        <v>32</v>
      </c>
      <c r="F5" s="11">
        <v>325.364294</v>
      </c>
      <c r="G5" s="11">
        <v>309.49655</v>
      </c>
      <c r="H5" s="11">
        <v>634.860844</v>
      </c>
      <c r="I5" s="11">
        <v>857.183621</v>
      </c>
      <c r="J5" s="11">
        <v>25.0331143</v>
      </c>
      <c r="K5" s="12">
        <f t="shared" si="0"/>
        <v>39.9470872068043</v>
      </c>
    </row>
    <row r="6" spans="1:11">
      <c r="A6" t="s">
        <v>42</v>
      </c>
      <c r="B6" s="9">
        <v>1024</v>
      </c>
      <c r="C6" s="9">
        <v>1024</v>
      </c>
      <c r="D6" s="9">
        <v>16</v>
      </c>
      <c r="E6" s="9">
        <v>64</v>
      </c>
      <c r="F6" s="11">
        <v>580.761364</v>
      </c>
      <c r="G6" s="11">
        <v>552.502276</v>
      </c>
      <c r="H6" s="11">
        <v>1133.26364</v>
      </c>
      <c r="I6" s="11">
        <v>2526.73419</v>
      </c>
      <c r="J6" s="11">
        <v>26.5132736</v>
      </c>
      <c r="K6" s="12">
        <f t="shared" si="0"/>
        <v>37.7169569886685</v>
      </c>
    </row>
    <row r="7" spans="1:11">
      <c r="A7" t="s">
        <v>43</v>
      </c>
      <c r="B7" s="9">
        <v>1024</v>
      </c>
      <c r="C7" s="9">
        <v>1024</v>
      </c>
      <c r="D7" s="9">
        <v>32</v>
      </c>
      <c r="E7" s="9">
        <v>128</v>
      </c>
      <c r="F7" s="11">
        <v>896.648155</v>
      </c>
      <c r="G7" s="11">
        <v>853.006046</v>
      </c>
      <c r="H7" s="11">
        <v>1749.6542</v>
      </c>
      <c r="I7" s="11">
        <v>3697.19868</v>
      </c>
      <c r="J7" s="11">
        <v>33.9276844</v>
      </c>
      <c r="K7" s="12">
        <f t="shared" si="0"/>
        <v>29.4744547906724</v>
      </c>
    </row>
    <row r="8" spans="1:11">
      <c r="A8" t="s">
        <v>44</v>
      </c>
      <c r="B8" s="9">
        <v>1024</v>
      </c>
      <c r="C8" s="9">
        <v>1024</v>
      </c>
      <c r="D8" s="9">
        <v>64</v>
      </c>
      <c r="E8" s="9">
        <v>256</v>
      </c>
      <c r="F8" s="11">
        <v>1498.80508</v>
      </c>
      <c r="G8" s="11">
        <v>1425.76653</v>
      </c>
      <c r="H8" s="11">
        <v>2924.57162</v>
      </c>
      <c r="I8" s="11">
        <v>3831.75312</v>
      </c>
      <c r="J8" s="11">
        <v>41.1627821</v>
      </c>
      <c r="K8" s="12">
        <f t="shared" si="0"/>
        <v>24.2937903849798</v>
      </c>
    </row>
    <row r="9" spans="1:11">
      <c r="A9" t="s">
        <v>45</v>
      </c>
      <c r="B9" s="9">
        <v>1024</v>
      </c>
      <c r="C9" s="9">
        <v>1024</v>
      </c>
      <c r="D9" s="9">
        <v>128</v>
      </c>
      <c r="E9" s="9">
        <v>512</v>
      </c>
      <c r="F9" s="11">
        <v>2080.49976</v>
      </c>
      <c r="G9" s="11">
        <v>1979.19712</v>
      </c>
      <c r="H9" s="11">
        <v>4059.69688</v>
      </c>
      <c r="I9" s="11">
        <v>7251.09269</v>
      </c>
      <c r="J9" s="11">
        <v>57.6100388</v>
      </c>
      <c r="K9" s="12">
        <f t="shared" si="0"/>
        <v>17.3580858619384</v>
      </c>
    </row>
    <row r="10" spans="1:11">
      <c r="A10" t="s">
        <v>46</v>
      </c>
      <c r="B10" s="9">
        <v>1024</v>
      </c>
      <c r="C10" s="9">
        <v>1024</v>
      </c>
      <c r="D10" s="9">
        <v>256</v>
      </c>
      <c r="E10" s="9">
        <v>1024</v>
      </c>
      <c r="F10" s="11">
        <v>2855.66321</v>
      </c>
      <c r="G10" s="11">
        <v>2716.64383</v>
      </c>
      <c r="H10" s="11">
        <v>5572.30704</v>
      </c>
      <c r="I10" s="11">
        <v>11464.0228</v>
      </c>
      <c r="J10" s="11">
        <v>83.0477652</v>
      </c>
      <c r="K10" s="12">
        <f t="shared" si="0"/>
        <v>12.0412632127035</v>
      </c>
    </row>
    <row r="11" spans="1:11">
      <c r="A11" t="s">
        <v>47</v>
      </c>
      <c r="B11" s="9">
        <v>1024</v>
      </c>
      <c r="C11" s="9">
        <v>1024</v>
      </c>
      <c r="D11" s="9">
        <v>512</v>
      </c>
      <c r="E11" s="9">
        <v>2048</v>
      </c>
      <c r="F11" s="11">
        <v>2850.723</v>
      </c>
      <c r="G11" s="11">
        <v>2711.99209</v>
      </c>
      <c r="H11" s="11">
        <v>5562.71508</v>
      </c>
      <c r="I11" s="11">
        <v>20946.4168</v>
      </c>
      <c r="J11" s="11">
        <v>168.127394</v>
      </c>
      <c r="K11" s="12">
        <f t="shared" si="0"/>
        <v>5.94787069619363</v>
      </c>
    </row>
    <row r="12" spans="1:11">
      <c r="A12" t="s">
        <v>151</v>
      </c>
      <c r="B12" s="9">
        <v>1024</v>
      </c>
      <c r="C12" s="9">
        <v>16384</v>
      </c>
      <c r="D12" s="9">
        <v>1</v>
      </c>
      <c r="E12" s="9">
        <v>16</v>
      </c>
      <c r="F12" s="11">
        <v>2.86213269</v>
      </c>
      <c r="G12" s="11">
        <v>43.5633114</v>
      </c>
      <c r="H12" s="11">
        <v>46.4254441</v>
      </c>
      <c r="I12" s="11">
        <v>423.079964</v>
      </c>
      <c r="J12" s="11">
        <v>22.9306461</v>
      </c>
      <c r="K12" s="12">
        <f t="shared" si="0"/>
        <v>43.6097611745881</v>
      </c>
    </row>
    <row r="13" spans="1:11">
      <c r="A13" t="s">
        <v>152</v>
      </c>
      <c r="B13" s="9">
        <v>1024</v>
      </c>
      <c r="C13" s="9">
        <v>16384</v>
      </c>
      <c r="D13" s="9">
        <v>2</v>
      </c>
      <c r="E13" s="9">
        <v>8</v>
      </c>
      <c r="F13" s="11">
        <v>5.32132185</v>
      </c>
      <c r="G13" s="11">
        <v>80.9982926</v>
      </c>
      <c r="H13" s="11">
        <v>86.3196145</v>
      </c>
      <c r="I13" s="11">
        <v>651.714072</v>
      </c>
      <c r="J13" s="11">
        <v>24.6532283</v>
      </c>
      <c r="K13" s="12">
        <f t="shared" si="0"/>
        <v>40.5626390114596</v>
      </c>
    </row>
    <row r="14" spans="1:11">
      <c r="A14" t="s">
        <v>50</v>
      </c>
      <c r="B14" s="9">
        <v>1024</v>
      </c>
      <c r="C14" s="9">
        <v>16384</v>
      </c>
      <c r="D14" s="9">
        <v>4</v>
      </c>
      <c r="E14" s="9">
        <v>16</v>
      </c>
      <c r="F14" s="11">
        <v>10.2145755</v>
      </c>
      <c r="G14" s="11">
        <v>155.471734</v>
      </c>
      <c r="H14" s="11">
        <v>165.68631</v>
      </c>
      <c r="I14" s="11">
        <v>732.869408</v>
      </c>
      <c r="J14" s="11">
        <v>25.6845489</v>
      </c>
      <c r="K14" s="12">
        <f t="shared" si="0"/>
        <v>38.9339132991353</v>
      </c>
    </row>
    <row r="15" spans="1:11">
      <c r="A15" t="s">
        <v>51</v>
      </c>
      <c r="B15" s="9">
        <v>1024</v>
      </c>
      <c r="C15" s="9">
        <v>16384</v>
      </c>
      <c r="D15" s="9">
        <v>8</v>
      </c>
      <c r="E15" s="9">
        <v>16</v>
      </c>
      <c r="F15" s="11">
        <v>19.844235</v>
      </c>
      <c r="G15" s="11">
        <v>302.040709</v>
      </c>
      <c r="H15" s="11">
        <v>321.884944</v>
      </c>
      <c r="I15" s="11">
        <v>875.358056</v>
      </c>
      <c r="J15" s="11">
        <v>26.4343108</v>
      </c>
      <c r="K15" s="12">
        <f t="shared" si="0"/>
        <v>37.8296225525199</v>
      </c>
    </row>
    <row r="16" spans="1:11">
      <c r="A16" t="s">
        <v>52</v>
      </c>
      <c r="B16" s="9">
        <v>1024</v>
      </c>
      <c r="C16" s="9">
        <v>16384</v>
      </c>
      <c r="D16" s="9">
        <v>16</v>
      </c>
      <c r="E16" s="9">
        <v>32</v>
      </c>
      <c r="F16" s="11">
        <v>37.9312969</v>
      </c>
      <c r="G16" s="11">
        <v>577.302711</v>
      </c>
      <c r="H16" s="11">
        <v>615.234008</v>
      </c>
      <c r="I16" s="11">
        <v>1410.34579</v>
      </c>
      <c r="J16" s="11">
        <v>27.6302655</v>
      </c>
      <c r="K16" s="12">
        <f t="shared" si="0"/>
        <v>36.1921965606881</v>
      </c>
    </row>
    <row r="17" spans="1:11">
      <c r="A17" t="s">
        <v>53</v>
      </c>
      <c r="B17" s="9">
        <v>1024</v>
      </c>
      <c r="C17" s="9">
        <v>16384</v>
      </c>
      <c r="D17" s="9">
        <v>32</v>
      </c>
      <c r="E17" s="9">
        <v>64</v>
      </c>
      <c r="F17" s="11">
        <v>59.888464</v>
      </c>
      <c r="G17" s="11">
        <v>911.589915</v>
      </c>
      <c r="H17" s="11">
        <v>971.478379</v>
      </c>
      <c r="I17" s="11">
        <v>1970.73747</v>
      </c>
      <c r="J17" s="11">
        <v>34.9842723</v>
      </c>
      <c r="K17" s="12">
        <f t="shared" si="0"/>
        <v>28.58427328214</v>
      </c>
    </row>
    <row r="18" spans="1:11">
      <c r="A18" t="s">
        <v>54</v>
      </c>
      <c r="B18" s="9">
        <v>1024</v>
      </c>
      <c r="C18" s="9">
        <v>16384</v>
      </c>
      <c r="D18" s="9">
        <v>64</v>
      </c>
      <c r="E18" s="9">
        <v>128</v>
      </c>
      <c r="F18" s="11">
        <v>96.3791739</v>
      </c>
      <c r="G18" s="11">
        <v>1467.01053</v>
      </c>
      <c r="H18" s="11">
        <v>1563.38971</v>
      </c>
      <c r="I18" s="11">
        <v>5024.49024</v>
      </c>
      <c r="J18" s="11">
        <v>43.3194242</v>
      </c>
      <c r="K18" s="12">
        <f t="shared" si="0"/>
        <v>23.0843326860286</v>
      </c>
    </row>
    <row r="19" spans="1:11">
      <c r="A19" t="s">
        <v>153</v>
      </c>
      <c r="B19" s="9">
        <v>8192</v>
      </c>
      <c r="C19" s="9">
        <v>1024</v>
      </c>
      <c r="D19" s="9">
        <v>1</v>
      </c>
      <c r="E19" s="9">
        <v>32</v>
      </c>
      <c r="F19" s="11">
        <v>345.753817</v>
      </c>
      <c r="G19" s="11">
        <v>42.9440122</v>
      </c>
      <c r="H19" s="11">
        <v>388.69783</v>
      </c>
      <c r="I19" s="11">
        <v>655.712309</v>
      </c>
      <c r="J19" s="11">
        <v>22.6674618</v>
      </c>
      <c r="K19" s="12">
        <f t="shared" si="0"/>
        <v>44.116099492004</v>
      </c>
    </row>
    <row r="20" spans="1:11">
      <c r="A20" t="s">
        <v>56</v>
      </c>
      <c r="B20" s="9">
        <v>8192</v>
      </c>
      <c r="C20" s="9">
        <v>1024</v>
      </c>
      <c r="D20" s="9">
        <v>2</v>
      </c>
      <c r="E20" s="9">
        <v>32</v>
      </c>
      <c r="F20" s="11">
        <v>598.737159</v>
      </c>
      <c r="G20" s="11">
        <v>74.365559</v>
      </c>
      <c r="H20" s="11">
        <v>673.102719</v>
      </c>
      <c r="I20" s="11">
        <v>1435.70684</v>
      </c>
      <c r="J20" s="11">
        <v>25.515137</v>
      </c>
      <c r="K20" s="12">
        <f t="shared" si="0"/>
        <v>39.1924213458074</v>
      </c>
    </row>
    <row r="21" spans="1:11">
      <c r="A21" t="s">
        <v>57</v>
      </c>
      <c r="B21" s="9">
        <v>8192</v>
      </c>
      <c r="C21" s="9">
        <v>1024</v>
      </c>
      <c r="D21" s="9">
        <v>4</v>
      </c>
      <c r="E21" s="9">
        <v>32</v>
      </c>
      <c r="F21" s="11">
        <v>1127.18899</v>
      </c>
      <c r="G21" s="11">
        <v>140.001398</v>
      </c>
      <c r="H21" s="11">
        <v>1267.19039</v>
      </c>
      <c r="I21" s="11">
        <v>2058.86031</v>
      </c>
      <c r="J21" s="11">
        <v>26.5833307</v>
      </c>
      <c r="K21" s="12">
        <f t="shared" si="0"/>
        <v>37.617558585313</v>
      </c>
    </row>
    <row r="22" spans="1:11">
      <c r="A22" t="s">
        <v>58</v>
      </c>
      <c r="B22" s="9">
        <v>8192</v>
      </c>
      <c r="C22" s="9">
        <v>1024</v>
      </c>
      <c r="D22" s="9">
        <v>8</v>
      </c>
      <c r="E22" s="9">
        <v>32</v>
      </c>
      <c r="F22" s="11">
        <v>1970.83455</v>
      </c>
      <c r="G22" s="11">
        <v>244.785563</v>
      </c>
      <c r="H22" s="11">
        <v>2215.62011</v>
      </c>
      <c r="I22" s="11">
        <v>3288.5785</v>
      </c>
      <c r="J22" s="11">
        <v>29.4826172</v>
      </c>
      <c r="K22" s="12">
        <f t="shared" si="0"/>
        <v>33.9182913516918</v>
      </c>
    </row>
    <row r="23" spans="1:11">
      <c r="A23" t="s">
        <v>59</v>
      </c>
      <c r="B23" s="9">
        <v>8192</v>
      </c>
      <c r="C23" s="9">
        <v>1024</v>
      </c>
      <c r="D23" s="9">
        <v>16</v>
      </c>
      <c r="E23" s="9">
        <v>64</v>
      </c>
      <c r="F23" s="11">
        <v>3417.76517</v>
      </c>
      <c r="G23" s="11">
        <v>424.506592</v>
      </c>
      <c r="H23" s="11">
        <v>3842.27177</v>
      </c>
      <c r="I23" s="11">
        <v>4355.55387</v>
      </c>
      <c r="J23" s="11">
        <v>33.4454734</v>
      </c>
      <c r="K23" s="12">
        <f t="shared" si="0"/>
        <v>29.8994123372163</v>
      </c>
    </row>
    <row r="24" spans="1:11">
      <c r="A24" t="s">
        <v>60</v>
      </c>
      <c r="B24" s="9">
        <v>8192</v>
      </c>
      <c r="C24" s="9">
        <v>1024</v>
      </c>
      <c r="D24" s="9">
        <v>32</v>
      </c>
      <c r="E24" s="9">
        <v>128</v>
      </c>
      <c r="F24" s="11">
        <v>4816.31249</v>
      </c>
      <c r="G24" s="11">
        <v>598.21385</v>
      </c>
      <c r="H24" s="11">
        <v>5414.52634</v>
      </c>
      <c r="I24" s="11">
        <v>6200.10121</v>
      </c>
      <c r="J24" s="11">
        <v>47.4179672</v>
      </c>
      <c r="K24" s="12">
        <f t="shared" si="0"/>
        <v>21.0890525058189</v>
      </c>
    </row>
    <row r="25" spans="1:11">
      <c r="A25" t="s">
        <v>61</v>
      </c>
      <c r="B25" s="9">
        <v>8192</v>
      </c>
      <c r="C25" s="9">
        <v>1024</v>
      </c>
      <c r="D25" s="9">
        <v>64</v>
      </c>
      <c r="E25" s="9">
        <v>256</v>
      </c>
      <c r="F25" s="11">
        <v>6570.69476</v>
      </c>
      <c r="G25" s="11">
        <v>816.11131</v>
      </c>
      <c r="H25" s="11">
        <v>7386.80607</v>
      </c>
      <c r="I25" s="11">
        <v>8664.31488</v>
      </c>
      <c r="J25" s="11">
        <v>69.8942957</v>
      </c>
      <c r="K25" s="12">
        <f t="shared" si="0"/>
        <v>14.3073192166095</v>
      </c>
    </row>
    <row r="26" spans="1:11">
      <c r="A26" t="s">
        <v>62</v>
      </c>
      <c r="B26" s="9">
        <v>8192</v>
      </c>
      <c r="C26" s="9">
        <v>1024</v>
      </c>
      <c r="D26" s="9">
        <v>128</v>
      </c>
      <c r="E26" s="9">
        <v>512</v>
      </c>
      <c r="F26" s="11">
        <v>8178.94917</v>
      </c>
      <c r="G26" s="11">
        <v>1015.87012</v>
      </c>
      <c r="H26" s="11">
        <v>9194.81929</v>
      </c>
      <c r="I26" s="11">
        <v>11989.6111</v>
      </c>
      <c r="J26" s="11">
        <v>114.099764</v>
      </c>
      <c r="K26" s="12">
        <f t="shared" si="0"/>
        <v>8.76426002073063</v>
      </c>
    </row>
    <row r="27" spans="1:11">
      <c r="A27" t="s">
        <v>63</v>
      </c>
      <c r="B27" s="9">
        <v>8192</v>
      </c>
      <c r="C27" s="9">
        <v>1024</v>
      </c>
      <c r="D27" s="9">
        <v>256</v>
      </c>
      <c r="E27" s="9">
        <v>1024</v>
      </c>
      <c r="F27" s="11">
        <v>9138.54559</v>
      </c>
      <c r="G27" s="11">
        <v>1135.05817</v>
      </c>
      <c r="H27" s="11">
        <v>10273.6038</v>
      </c>
      <c r="I27" s="11">
        <v>22869.8501</v>
      </c>
      <c r="J27" s="11">
        <v>202.594969</v>
      </c>
      <c r="K27" s="12">
        <f t="shared" si="0"/>
        <v>4.93595672654635</v>
      </c>
    </row>
    <row r="28" spans="1:11">
      <c r="A28" t="s">
        <v>162</v>
      </c>
      <c r="B28" s="9">
        <v>8192</v>
      </c>
      <c r="C28" s="9">
        <v>16384</v>
      </c>
      <c r="D28" s="9">
        <v>1</v>
      </c>
      <c r="E28" s="9">
        <v>16</v>
      </c>
      <c r="F28" s="11">
        <v>21.8553841</v>
      </c>
      <c r="G28" s="11">
        <v>43.4327524</v>
      </c>
      <c r="H28" s="11">
        <v>65.2881364</v>
      </c>
      <c r="I28" s="11">
        <v>668.932507</v>
      </c>
      <c r="J28" s="11">
        <v>22.9846442</v>
      </c>
      <c r="K28" s="12">
        <f t="shared" si="0"/>
        <v>43.5073082401684</v>
      </c>
    </row>
    <row r="29" spans="1:11">
      <c r="A29" t="s">
        <v>163</v>
      </c>
      <c r="B29" s="9">
        <v>8192</v>
      </c>
      <c r="C29" s="9">
        <v>16384</v>
      </c>
      <c r="D29" s="9">
        <v>2</v>
      </c>
      <c r="E29" s="9">
        <v>8</v>
      </c>
      <c r="F29" s="11">
        <v>41.2793785</v>
      </c>
      <c r="G29" s="11">
        <v>82.0342765</v>
      </c>
      <c r="H29" s="11">
        <v>123.313655</v>
      </c>
      <c r="I29" s="11">
        <v>977.91616</v>
      </c>
      <c r="J29" s="11">
        <v>24.3215235</v>
      </c>
      <c r="K29" s="12">
        <f t="shared" si="0"/>
        <v>41.1158453951291</v>
      </c>
    </row>
    <row r="30" spans="1:11">
      <c r="A30" t="s">
        <v>66</v>
      </c>
      <c r="B30" s="9">
        <v>8192</v>
      </c>
      <c r="C30" s="9">
        <v>16384</v>
      </c>
      <c r="D30" s="9">
        <v>4</v>
      </c>
      <c r="E30" s="9">
        <v>16</v>
      </c>
      <c r="F30" s="11">
        <v>76.8789161</v>
      </c>
      <c r="G30" s="11">
        <v>152.779879</v>
      </c>
      <c r="H30" s="11">
        <v>229.658795</v>
      </c>
      <c r="I30" s="11">
        <v>1780.60971</v>
      </c>
      <c r="J30" s="11">
        <v>26.0739192</v>
      </c>
      <c r="K30" s="12">
        <f t="shared" si="0"/>
        <v>38.3525005324094</v>
      </c>
    </row>
    <row r="31" spans="1:11">
      <c r="A31" t="s">
        <v>67</v>
      </c>
      <c r="B31" s="9">
        <v>8192</v>
      </c>
      <c r="C31" s="9">
        <v>16384</v>
      </c>
      <c r="D31" s="9">
        <v>8</v>
      </c>
      <c r="E31" s="9">
        <v>16</v>
      </c>
      <c r="F31" s="11">
        <v>149.168181</v>
      </c>
      <c r="G31" s="11">
        <v>296.43884</v>
      </c>
      <c r="H31" s="11">
        <v>445.607021</v>
      </c>
      <c r="I31" s="11">
        <v>3048.51657</v>
      </c>
      <c r="J31" s="11">
        <v>26.8011759</v>
      </c>
      <c r="K31" s="12">
        <f t="shared" si="0"/>
        <v>37.3117957111725</v>
      </c>
    </row>
    <row r="32" spans="1:11">
      <c r="A32" t="s">
        <v>68</v>
      </c>
      <c r="B32" s="9">
        <v>8192</v>
      </c>
      <c r="C32" s="9">
        <v>16384</v>
      </c>
      <c r="D32" s="9">
        <v>16</v>
      </c>
      <c r="E32" s="9">
        <v>32</v>
      </c>
      <c r="F32" s="11">
        <v>277.591556</v>
      </c>
      <c r="G32" s="11">
        <v>551.647771</v>
      </c>
      <c r="H32" s="11">
        <v>829.239327</v>
      </c>
      <c r="I32" s="11">
        <v>5114.18469</v>
      </c>
      <c r="J32" s="11">
        <v>28.689837</v>
      </c>
      <c r="K32" s="12">
        <f t="shared" si="0"/>
        <v>34.855548325353</v>
      </c>
    </row>
    <row r="33" spans="1:11">
      <c r="A33" t="s">
        <v>69</v>
      </c>
      <c r="B33" s="9">
        <v>8192</v>
      </c>
      <c r="C33" s="9">
        <v>16384</v>
      </c>
      <c r="D33" s="9">
        <v>32</v>
      </c>
      <c r="E33" s="9">
        <v>64</v>
      </c>
      <c r="F33" s="11">
        <v>404.294666</v>
      </c>
      <c r="G33" s="11">
        <v>803.452513</v>
      </c>
      <c r="H33" s="11">
        <v>1207.74718</v>
      </c>
      <c r="I33" s="11">
        <v>9421.62568</v>
      </c>
      <c r="J33" s="11">
        <v>39.2466452</v>
      </c>
      <c r="K33" s="12">
        <f t="shared" si="0"/>
        <v>25.4798848386664</v>
      </c>
    </row>
    <row r="34" spans="1:11">
      <c r="A34" t="s">
        <v>71</v>
      </c>
      <c r="B34" s="9">
        <v>32768</v>
      </c>
      <c r="C34" s="9">
        <v>1024</v>
      </c>
      <c r="D34" s="9">
        <v>1</v>
      </c>
      <c r="E34" s="9">
        <v>32</v>
      </c>
      <c r="F34" s="11">
        <v>1254.74134</v>
      </c>
      <c r="G34" s="11">
        <v>39.147945</v>
      </c>
      <c r="H34" s="11">
        <v>1293.88928</v>
      </c>
      <c r="I34" s="11">
        <v>3011.18633</v>
      </c>
      <c r="J34" s="11">
        <v>22.6251572</v>
      </c>
      <c r="K34" s="12">
        <f t="shared" ref="K34:K59" si="1">1000/J34</f>
        <v>44.1985879329051</v>
      </c>
    </row>
    <row r="35" spans="1:11">
      <c r="A35" t="s">
        <v>72</v>
      </c>
      <c r="B35" s="9">
        <v>32768</v>
      </c>
      <c r="C35" s="9">
        <v>1024</v>
      </c>
      <c r="D35" s="9">
        <v>2</v>
      </c>
      <c r="E35" s="9">
        <v>32</v>
      </c>
      <c r="F35" s="11">
        <v>2166.01859</v>
      </c>
      <c r="G35" s="11">
        <v>67.5798065</v>
      </c>
      <c r="H35" s="11">
        <v>2233.5984</v>
      </c>
      <c r="I35" s="11">
        <v>4399.1451</v>
      </c>
      <c r="J35" s="11">
        <v>25.3211965</v>
      </c>
      <c r="K35" s="12">
        <f t="shared" si="1"/>
        <v>39.4926045457607</v>
      </c>
    </row>
    <row r="36" spans="1:11">
      <c r="A36" t="s">
        <v>73</v>
      </c>
      <c r="B36" s="9">
        <v>32768</v>
      </c>
      <c r="C36" s="9">
        <v>1024</v>
      </c>
      <c r="D36" s="9">
        <v>4</v>
      </c>
      <c r="E36" s="9">
        <v>32</v>
      </c>
      <c r="F36" s="11">
        <v>3679.34039</v>
      </c>
      <c r="G36" s="11">
        <v>114.795465</v>
      </c>
      <c r="H36" s="11">
        <v>3794.13585</v>
      </c>
      <c r="I36" s="11">
        <v>6728.63986</v>
      </c>
      <c r="J36" s="11">
        <v>28.2911401</v>
      </c>
      <c r="K36" s="12">
        <f t="shared" si="1"/>
        <v>35.3467550782798</v>
      </c>
    </row>
    <row r="37" spans="1:11">
      <c r="A37" t="s">
        <v>74</v>
      </c>
      <c r="B37" s="9">
        <v>32768</v>
      </c>
      <c r="C37" s="9">
        <v>1024</v>
      </c>
      <c r="D37" s="9">
        <v>8</v>
      </c>
      <c r="E37" s="9">
        <v>32</v>
      </c>
      <c r="F37" s="11">
        <v>5311.94041</v>
      </c>
      <c r="G37" s="11">
        <v>165.732605</v>
      </c>
      <c r="H37" s="11">
        <v>5477.67301</v>
      </c>
      <c r="I37" s="11">
        <v>11902.3806</v>
      </c>
      <c r="J37" s="11">
        <v>36.6386748</v>
      </c>
      <c r="K37" s="12">
        <f t="shared" si="1"/>
        <v>27.2935635761586</v>
      </c>
    </row>
    <row r="38" spans="1:11">
      <c r="A38" t="s">
        <v>75</v>
      </c>
      <c r="B38" s="9">
        <v>32768</v>
      </c>
      <c r="C38" s="9">
        <v>1024</v>
      </c>
      <c r="D38" s="9">
        <v>16</v>
      </c>
      <c r="E38" s="9">
        <v>64</v>
      </c>
      <c r="F38" s="11">
        <v>7526.929</v>
      </c>
      <c r="G38" s="11">
        <v>234.841171</v>
      </c>
      <c r="H38" s="11">
        <v>7761.77017</v>
      </c>
      <c r="I38" s="11">
        <v>14402.5768</v>
      </c>
      <c r="J38" s="11">
        <v>54.0045609</v>
      </c>
      <c r="K38" s="12">
        <f t="shared" si="1"/>
        <v>18.5169545559623</v>
      </c>
    </row>
    <row r="39" spans="1:11">
      <c r="A39" t="s">
        <v>76</v>
      </c>
      <c r="B39" s="9">
        <v>32768</v>
      </c>
      <c r="C39" s="9">
        <v>1024</v>
      </c>
      <c r="D39" s="9">
        <v>32</v>
      </c>
      <c r="E39" s="9">
        <v>128</v>
      </c>
      <c r="F39" s="11">
        <v>8610.39153</v>
      </c>
      <c r="G39" s="11">
        <v>268.645216</v>
      </c>
      <c r="H39" s="11">
        <v>8879.03675</v>
      </c>
      <c r="I39" s="11">
        <v>17667.8937</v>
      </c>
      <c r="J39" s="11">
        <v>101.714335</v>
      </c>
      <c r="K39" s="12">
        <f t="shared" si="1"/>
        <v>9.83145591031982</v>
      </c>
    </row>
    <row r="40" spans="1:11">
      <c r="A40" t="s">
        <v>77</v>
      </c>
      <c r="B40" s="9">
        <v>32768</v>
      </c>
      <c r="C40" s="9">
        <v>1024</v>
      </c>
      <c r="D40" s="9">
        <v>64</v>
      </c>
      <c r="E40" s="9">
        <v>256</v>
      </c>
      <c r="F40" s="11">
        <v>10162.8028</v>
      </c>
      <c r="G40" s="11">
        <v>317.079987</v>
      </c>
      <c r="H40" s="11">
        <v>10479.8828</v>
      </c>
      <c r="I40" s="11">
        <v>26031.3712</v>
      </c>
      <c r="J40" s="11">
        <v>175.961751</v>
      </c>
      <c r="K40" s="12">
        <f t="shared" si="1"/>
        <v>5.68305324490662</v>
      </c>
    </row>
    <row r="41" spans="1:11">
      <c r="A41" t="s">
        <v>78</v>
      </c>
      <c r="B41" s="9">
        <v>32768</v>
      </c>
      <c r="C41" s="9">
        <v>16384</v>
      </c>
      <c r="D41" s="9">
        <v>1</v>
      </c>
      <c r="E41" s="9">
        <v>4</v>
      </c>
      <c r="F41" s="11">
        <v>85.6318718</v>
      </c>
      <c r="G41" s="11">
        <v>42.7471215</v>
      </c>
      <c r="H41" s="11">
        <v>128.378993</v>
      </c>
      <c r="I41" s="11">
        <v>3033.5577</v>
      </c>
      <c r="J41" s="11">
        <v>23.2096163</v>
      </c>
      <c r="K41" s="12">
        <f t="shared" si="1"/>
        <v>43.0855894847344</v>
      </c>
    </row>
    <row r="42" spans="1:11">
      <c r="A42" t="s">
        <v>79</v>
      </c>
      <c r="B42" s="9">
        <v>32768</v>
      </c>
      <c r="C42" s="9">
        <v>16384</v>
      </c>
      <c r="D42" s="9">
        <v>2</v>
      </c>
      <c r="E42" s="9">
        <v>8</v>
      </c>
      <c r="F42" s="11">
        <v>149.724923</v>
      </c>
      <c r="G42" s="11">
        <v>74.7429956</v>
      </c>
      <c r="H42" s="11">
        <v>224.467919</v>
      </c>
      <c r="I42" s="11">
        <v>18386.8451</v>
      </c>
      <c r="J42" s="11">
        <v>25.6372666</v>
      </c>
      <c r="K42" s="12">
        <f t="shared" si="1"/>
        <v>39.0057183397235</v>
      </c>
    </row>
    <row r="43" spans="1:11">
      <c r="A43" t="s">
        <v>80</v>
      </c>
      <c r="B43" s="9">
        <v>32768</v>
      </c>
      <c r="C43" s="9">
        <v>16384</v>
      </c>
      <c r="D43" s="9">
        <v>4</v>
      </c>
      <c r="E43" s="9">
        <v>16</v>
      </c>
      <c r="F43" s="11">
        <v>303.582105</v>
      </c>
      <c r="G43" s="11">
        <v>151.548535</v>
      </c>
      <c r="H43" s="11">
        <v>455.13064</v>
      </c>
      <c r="I43" s="11">
        <v>7042.10187</v>
      </c>
      <c r="J43" s="11">
        <v>25.9646938</v>
      </c>
      <c r="K43" s="12">
        <f t="shared" si="1"/>
        <v>38.5138375866385</v>
      </c>
    </row>
    <row r="44" spans="1:11">
      <c r="A44" t="s">
        <v>81</v>
      </c>
      <c r="B44" s="9">
        <v>32768</v>
      </c>
      <c r="C44" s="9">
        <v>16384</v>
      </c>
      <c r="D44" s="9">
        <v>8</v>
      </c>
      <c r="E44" s="9">
        <v>16</v>
      </c>
      <c r="F44" s="11">
        <v>540.540328</v>
      </c>
      <c r="G44" s="11">
        <v>269.838351</v>
      </c>
      <c r="H44" s="11">
        <v>810.37868</v>
      </c>
      <c r="I44" s="11">
        <v>13468.1732</v>
      </c>
      <c r="J44" s="11">
        <v>28.8212693</v>
      </c>
      <c r="K44" s="12">
        <f t="shared" si="1"/>
        <v>34.6965981820932</v>
      </c>
    </row>
    <row r="45" spans="1:11">
      <c r="A45" t="s">
        <v>82</v>
      </c>
      <c r="B45" s="9">
        <v>32768</v>
      </c>
      <c r="C45" s="9">
        <v>16384</v>
      </c>
      <c r="D45" s="9">
        <v>16</v>
      </c>
      <c r="E45" s="9">
        <v>32</v>
      </c>
      <c r="F45" s="11">
        <v>929.711517</v>
      </c>
      <c r="G45" s="11">
        <v>464.11217</v>
      </c>
      <c r="H45" s="11">
        <v>1393.82369</v>
      </c>
      <c r="I45" s="11">
        <v>16114.6978</v>
      </c>
      <c r="J45" s="11">
        <v>33.4785562</v>
      </c>
      <c r="K45" s="12">
        <f t="shared" si="1"/>
        <v>29.869866371358</v>
      </c>
    </row>
    <row r="46" spans="1:11">
      <c r="A46" t="s">
        <v>83</v>
      </c>
      <c r="B46" s="9">
        <v>32768</v>
      </c>
      <c r="C46" s="9">
        <v>16384</v>
      </c>
      <c r="D46" s="9">
        <v>32</v>
      </c>
      <c r="E46" s="9">
        <v>64</v>
      </c>
      <c r="F46" s="11">
        <v>1160.59178</v>
      </c>
      <c r="G46" s="11">
        <v>579.36985</v>
      </c>
      <c r="H46" s="11">
        <v>1739.96163</v>
      </c>
      <c r="I46" s="11">
        <v>24069.0814</v>
      </c>
      <c r="J46" s="11">
        <v>53.7359778</v>
      </c>
      <c r="K46" s="12">
        <f t="shared" si="1"/>
        <v>18.6095059760874</v>
      </c>
    </row>
    <row r="47" spans="1:11">
      <c r="A47" t="s">
        <v>84</v>
      </c>
      <c r="B47" s="9">
        <v>65536</v>
      </c>
      <c r="C47" s="9">
        <v>1024</v>
      </c>
      <c r="D47" s="9">
        <v>1</v>
      </c>
      <c r="E47" s="9">
        <v>16</v>
      </c>
      <c r="F47" s="11">
        <v>2210.56578</v>
      </c>
      <c r="G47" s="11">
        <v>34.5124757</v>
      </c>
      <c r="H47" s="11">
        <v>2245.07825</v>
      </c>
      <c r="I47" s="11">
        <v>5563.30423</v>
      </c>
      <c r="J47" s="11">
        <v>23.5646912</v>
      </c>
      <c r="K47" s="12">
        <f t="shared" si="1"/>
        <v>42.4363719224125</v>
      </c>
    </row>
    <row r="48" spans="1:11">
      <c r="A48" t="s">
        <v>85</v>
      </c>
      <c r="B48" s="9">
        <v>65536</v>
      </c>
      <c r="C48" s="9">
        <v>1024</v>
      </c>
      <c r="D48" s="9">
        <v>2</v>
      </c>
      <c r="E48" s="9">
        <v>16</v>
      </c>
      <c r="F48" s="11">
        <v>3658.49483</v>
      </c>
      <c r="G48" s="11">
        <v>57.1182795</v>
      </c>
      <c r="H48" s="11">
        <v>3715.61311</v>
      </c>
      <c r="I48" s="11">
        <v>8226.32192</v>
      </c>
      <c r="J48" s="11">
        <v>27.0007703</v>
      </c>
      <c r="K48" s="12">
        <f t="shared" si="1"/>
        <v>37.0359804142329</v>
      </c>
    </row>
    <row r="49" spans="1:11">
      <c r="A49" t="s">
        <v>86</v>
      </c>
      <c r="B49" s="9">
        <v>65536</v>
      </c>
      <c r="C49" s="9">
        <v>1024</v>
      </c>
      <c r="D49" s="9">
        <v>4</v>
      </c>
      <c r="E49" s="9">
        <v>16</v>
      </c>
      <c r="F49" s="11">
        <v>5656.95049</v>
      </c>
      <c r="G49" s="11">
        <v>88.3191844</v>
      </c>
      <c r="H49" s="11">
        <v>5745.26968</v>
      </c>
      <c r="I49" s="11">
        <v>13002.6412</v>
      </c>
      <c r="J49" s="11">
        <v>32.58537</v>
      </c>
      <c r="K49" s="12">
        <f t="shared" si="1"/>
        <v>30.6886188495021</v>
      </c>
    </row>
    <row r="50" spans="1:11">
      <c r="A50" t="s">
        <v>87</v>
      </c>
      <c r="B50" s="9">
        <v>65536</v>
      </c>
      <c r="C50" s="9">
        <v>1024</v>
      </c>
      <c r="D50" s="9">
        <v>8</v>
      </c>
      <c r="E50" s="9">
        <v>16</v>
      </c>
      <c r="F50" s="11">
        <v>7490.17859</v>
      </c>
      <c r="G50" s="11">
        <v>116.940473</v>
      </c>
      <c r="H50" s="11">
        <v>7607.11907</v>
      </c>
      <c r="I50" s="11">
        <v>21192.0527</v>
      </c>
      <c r="J50" s="11">
        <v>47.5757591</v>
      </c>
      <c r="K50" s="12">
        <f t="shared" si="1"/>
        <v>21.0191076068401</v>
      </c>
    </row>
    <row r="51" spans="1:11">
      <c r="A51" t="s">
        <v>88</v>
      </c>
      <c r="B51" s="9">
        <v>65536</v>
      </c>
      <c r="C51" s="9">
        <v>1024</v>
      </c>
      <c r="D51" s="9">
        <v>16</v>
      </c>
      <c r="E51" s="9">
        <v>32</v>
      </c>
      <c r="F51" s="11">
        <v>8982.67509</v>
      </c>
      <c r="G51" s="11">
        <v>140.241952</v>
      </c>
      <c r="H51" s="11">
        <v>9122.91704</v>
      </c>
      <c r="I51" s="11">
        <v>32706.7645</v>
      </c>
      <c r="J51" s="11">
        <v>81.8039327</v>
      </c>
      <c r="K51" s="12">
        <f t="shared" si="1"/>
        <v>12.2243511649654</v>
      </c>
    </row>
    <row r="52" spans="1:11">
      <c r="A52" t="s">
        <v>89</v>
      </c>
      <c r="B52" s="9">
        <v>65536</v>
      </c>
      <c r="C52" s="9">
        <v>1024</v>
      </c>
      <c r="D52" s="9">
        <v>32</v>
      </c>
      <c r="E52" s="9">
        <v>64</v>
      </c>
      <c r="F52" s="11">
        <v>9685.82301</v>
      </c>
      <c r="G52" s="11">
        <v>151.220133</v>
      </c>
      <c r="H52" s="11">
        <v>9837.04315</v>
      </c>
      <c r="I52" s="11">
        <v>47825.2513</v>
      </c>
      <c r="J52" s="11">
        <v>164.013601</v>
      </c>
      <c r="K52" s="12">
        <f t="shared" si="1"/>
        <v>6.09705532896629</v>
      </c>
    </row>
    <row r="53" spans="1:11">
      <c r="A53" t="s">
        <v>90</v>
      </c>
      <c r="B53" s="9">
        <v>65536</v>
      </c>
      <c r="C53" s="9">
        <v>1024</v>
      </c>
      <c r="D53" s="9">
        <v>64</v>
      </c>
      <c r="E53" s="9">
        <v>128</v>
      </c>
      <c r="F53" s="11">
        <v>10301.251</v>
      </c>
      <c r="G53" s="11">
        <v>160.828477</v>
      </c>
      <c r="H53" s="11">
        <v>10462.0794</v>
      </c>
      <c r="I53" s="11">
        <v>152907.211</v>
      </c>
      <c r="J53" s="11">
        <v>227.313161</v>
      </c>
      <c r="K53" s="12">
        <f t="shared" si="1"/>
        <v>4.39921734228138</v>
      </c>
    </row>
    <row r="54" spans="1:11">
      <c r="A54" t="s">
        <v>164</v>
      </c>
      <c r="B54" s="9">
        <v>131072</v>
      </c>
      <c r="C54" s="9">
        <v>1024</v>
      </c>
      <c r="D54" s="9">
        <v>1</v>
      </c>
      <c r="E54" s="9">
        <v>8</v>
      </c>
      <c r="F54" s="11">
        <v>3607.85671</v>
      </c>
      <c r="G54" s="11">
        <v>28.175122</v>
      </c>
      <c r="H54" s="11">
        <v>3636.03183</v>
      </c>
      <c r="I54" s="11">
        <v>11791.5185</v>
      </c>
      <c r="J54" s="11">
        <v>24.000142</v>
      </c>
      <c r="K54" s="12">
        <f t="shared" si="1"/>
        <v>41.6664201403475</v>
      </c>
    </row>
    <row r="55" spans="1:11">
      <c r="A55" t="s">
        <v>165</v>
      </c>
      <c r="B55" s="9">
        <v>131072</v>
      </c>
      <c r="C55" s="9">
        <v>1024</v>
      </c>
      <c r="D55" s="9">
        <v>2</v>
      </c>
      <c r="E55" s="9">
        <v>16</v>
      </c>
      <c r="F55" s="11">
        <v>5438.70447</v>
      </c>
      <c r="G55" s="11">
        <v>42.4728867</v>
      </c>
      <c r="H55" s="11">
        <v>5481.17736</v>
      </c>
      <c r="I55" s="11">
        <v>17307.4319</v>
      </c>
      <c r="J55" s="11">
        <v>30.2034188</v>
      </c>
      <c r="K55" s="12">
        <f t="shared" si="1"/>
        <v>33.1088346859595</v>
      </c>
    </row>
    <row r="56" spans="1:11">
      <c r="A56" t="s">
        <v>166</v>
      </c>
      <c r="B56" s="9">
        <v>131072</v>
      </c>
      <c r="C56" s="9">
        <v>1024</v>
      </c>
      <c r="D56" s="9">
        <v>4</v>
      </c>
      <c r="E56" s="9">
        <v>16</v>
      </c>
      <c r="F56" s="11">
        <v>7391.85408</v>
      </c>
      <c r="G56" s="11">
        <v>57.7257659</v>
      </c>
      <c r="H56" s="11">
        <v>7449.57985</v>
      </c>
      <c r="I56" s="11">
        <v>27903.2036</v>
      </c>
      <c r="J56" s="11">
        <v>42.0086142</v>
      </c>
      <c r="K56" s="12">
        <f t="shared" si="1"/>
        <v>23.8046414775568</v>
      </c>
    </row>
    <row r="57" spans="1:11">
      <c r="A57" t="s">
        <v>167</v>
      </c>
      <c r="B57" s="9">
        <v>131072</v>
      </c>
      <c r="C57" s="9">
        <v>1024</v>
      </c>
      <c r="D57" s="9">
        <v>8</v>
      </c>
      <c r="E57" s="9">
        <v>16</v>
      </c>
      <c r="F57" s="11">
        <v>8471.96591</v>
      </c>
      <c r="G57" s="11">
        <v>66.160765</v>
      </c>
      <c r="H57" s="11">
        <v>8538.12667</v>
      </c>
      <c r="I57" s="11">
        <v>45976.7016</v>
      </c>
      <c r="J57" s="11">
        <v>75.7033276</v>
      </c>
      <c r="K57" s="12">
        <f t="shared" si="1"/>
        <v>13.209458972316</v>
      </c>
    </row>
    <row r="58" spans="1:11">
      <c r="A58" t="s">
        <v>168</v>
      </c>
      <c r="B58" s="9">
        <v>131072</v>
      </c>
      <c r="C58" s="9">
        <v>1024</v>
      </c>
      <c r="D58" s="9">
        <v>16</v>
      </c>
      <c r="E58" s="9">
        <v>32</v>
      </c>
      <c r="F58" s="11">
        <v>9502.61253</v>
      </c>
      <c r="G58" s="11">
        <v>74.2094363</v>
      </c>
      <c r="H58" s="11">
        <v>9576.82197</v>
      </c>
      <c r="I58" s="11">
        <v>67055.2692</v>
      </c>
      <c r="J58" s="11">
        <v>149.327705</v>
      </c>
      <c r="K58" s="12">
        <f t="shared" si="1"/>
        <v>6.69668096754048</v>
      </c>
    </row>
    <row r="59" spans="1:11">
      <c r="A59" t="s">
        <v>169</v>
      </c>
      <c r="B59" s="9">
        <v>131072</v>
      </c>
      <c r="C59" s="9">
        <v>1024</v>
      </c>
      <c r="D59" s="9">
        <v>32</v>
      </c>
      <c r="E59" s="9">
        <v>64</v>
      </c>
      <c r="F59" s="11">
        <v>9732.2228</v>
      </c>
      <c r="G59" s="11">
        <v>76.0026207</v>
      </c>
      <c r="H59" s="11">
        <v>9808.22542</v>
      </c>
      <c r="I59" s="11">
        <v>168763.213</v>
      </c>
      <c r="J59" s="11">
        <v>234.753227</v>
      </c>
      <c r="K59" s="12">
        <f t="shared" si="1"/>
        <v>4.25979234781722</v>
      </c>
    </row>
    <row r="60" spans="1:11">
      <c r="B60" s="9"/>
      <c r="C60" s="9"/>
      <c r="D60" s="9"/>
      <c r="E60" s="9"/>
      <c r="F60" s="11"/>
      <c r="G60" s="11"/>
      <c r="H60" s="11"/>
      <c r="I60" s="11"/>
      <c r="J60" s="11"/>
      <c r="K60" s="12"/>
    </row>
    <row r="61" spans="1:11">
      <c r="B61" s="9"/>
      <c r="C61" s="9"/>
      <c r="D61" s="9"/>
      <c r="E61" s="9"/>
      <c r="F61" s="11"/>
      <c r="G61" s="11"/>
      <c r="H61" s="11"/>
      <c r="I61" s="11"/>
      <c r="J61" s="11"/>
      <c r="K61" s="1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2"/>
  <sheetViews>
    <sheetView tabSelected="1" workbookViewId="0">
      <pane xSplit="5" ySplit="2" topLeftCell="F3" activePane="bottomRight" state="frozen"/>
      <selection/>
      <selection pane="topRight"/>
      <selection pane="bottomLeft"/>
      <selection pane="bottomRight" activeCell="F3" sqref="F3"/>
    </sheetView>
  </sheetViews>
  <sheetFormatPr defaultColWidth="9" defaultRowHeight="13.5"/>
  <cols>
    <col min="1" max="1" width="19.875" customWidth="1"/>
    <col min="2" max="2" width="6.125" customWidth="1"/>
    <col min="3" max="3" width="5.5" customWidth="1"/>
    <col min="4" max="4" width="4.875" customWidth="1"/>
    <col min="5" max="5" width="6.125" customWidth="1"/>
    <col min="6" max="6" width="9.375" style="2"/>
    <col min="7" max="7" width="13.125" customWidth="1"/>
    <col min="10" max="10" width="9.375" style="2"/>
    <col min="11" max="11" width="10" customWidth="1"/>
    <col min="14" max="14" width="9.375" style="2"/>
    <col min="15" max="15" width="10.5" customWidth="1"/>
    <col min="18" max="18" width="9.375" style="2"/>
    <col min="19" max="19" width="9.375"/>
    <col min="22" max="22" width="9.375" style="2"/>
    <col min="23" max="23" width="9.375"/>
  </cols>
  <sheetData>
    <row r="1" s="1" customFormat="1" ht="21.75" customHeight="1" spans="1:25">
      <c r="A1" s="3" t="s">
        <v>0</v>
      </c>
      <c r="B1" s="4" t="s">
        <v>1</v>
      </c>
      <c r="C1" s="4" t="s">
        <v>2</v>
      </c>
      <c r="D1" s="5" t="s">
        <v>372</v>
      </c>
      <c r="E1" s="5" t="s">
        <v>373</v>
      </c>
      <c r="F1" s="6" t="s">
        <v>417</v>
      </c>
      <c r="G1" s="3"/>
      <c r="H1" s="3"/>
      <c r="I1" s="3"/>
      <c r="J1" s="6" t="s">
        <v>418</v>
      </c>
      <c r="K1" s="3"/>
      <c r="L1" s="3"/>
      <c r="M1" s="3"/>
      <c r="N1" s="6" t="s">
        <v>419</v>
      </c>
      <c r="O1" s="3"/>
      <c r="P1" s="3"/>
      <c r="Q1" s="3"/>
      <c r="R1" s="6" t="s">
        <v>420</v>
      </c>
      <c r="S1" s="3"/>
      <c r="T1" s="3"/>
      <c r="U1" s="3"/>
      <c r="V1" s="6" t="s">
        <v>421</v>
      </c>
      <c r="W1" s="3"/>
      <c r="X1" s="3"/>
      <c r="Y1" s="3"/>
    </row>
    <row r="2" s="1" customFormat="1" ht="52.5" customHeight="1" spans="1:25">
      <c r="A2" s="3"/>
      <c r="B2" s="4"/>
      <c r="C2" s="4"/>
      <c r="D2" s="4"/>
      <c r="E2" s="4"/>
      <c r="F2" s="7" t="s">
        <v>6</v>
      </c>
      <c r="G2" s="4" t="s">
        <v>8</v>
      </c>
      <c r="H2" s="4" t="s">
        <v>9</v>
      </c>
      <c r="I2" s="8" t="s">
        <v>10</v>
      </c>
      <c r="J2" s="7" t="s">
        <v>6</v>
      </c>
      <c r="K2" s="4" t="s">
        <v>8</v>
      </c>
      <c r="L2" s="4" t="s">
        <v>9</v>
      </c>
      <c r="M2" s="8" t="s">
        <v>10</v>
      </c>
      <c r="N2" s="7" t="s">
        <v>6</v>
      </c>
      <c r="O2" s="4" t="s">
        <v>8</v>
      </c>
      <c r="P2" s="4" t="s">
        <v>9</v>
      </c>
      <c r="Q2" s="8" t="s">
        <v>10</v>
      </c>
      <c r="R2" s="7" t="s">
        <v>6</v>
      </c>
      <c r="S2" s="4" t="s">
        <v>8</v>
      </c>
      <c r="T2" s="4" t="s">
        <v>9</v>
      </c>
      <c r="U2" s="8" t="s">
        <v>10</v>
      </c>
      <c r="V2" s="7" t="s">
        <v>6</v>
      </c>
      <c r="W2" s="4" t="s">
        <v>8</v>
      </c>
      <c r="X2" s="4" t="s">
        <v>9</v>
      </c>
      <c r="Y2" s="8" t="s">
        <v>10</v>
      </c>
    </row>
    <row r="3" spans="1:25">
      <c r="A3" t="str">
        <f t="shared" ref="A3:A12" si="0">_xlfn.CONCAT("I_",B3,"_O_",C3,"_C_",D3)</f>
        <v>I_1024_O_1024_C_32</v>
      </c>
      <c r="B3" s="9">
        <v>1024</v>
      </c>
      <c r="C3" s="9">
        <v>1024</v>
      </c>
      <c r="D3" s="9">
        <v>32</v>
      </c>
      <c r="E3" s="9">
        <v>128</v>
      </c>
      <c r="F3" s="10">
        <v>853.006046</v>
      </c>
      <c r="G3" s="11">
        <v>3697.19868</v>
      </c>
      <c r="H3" s="11">
        <v>33.9276844</v>
      </c>
      <c r="I3" s="12">
        <f t="shared" ref="I3:I12" si="1">1000/H3</f>
        <v>29.4744547906724</v>
      </c>
      <c r="J3" s="10">
        <v>799.286946</v>
      </c>
      <c r="K3" s="11">
        <v>1067.15627</v>
      </c>
      <c r="L3" s="11">
        <v>37.0911928</v>
      </c>
      <c r="M3" s="12">
        <f t="shared" ref="M3:M12" si="2">1000/L3</f>
        <v>26.960578091735</v>
      </c>
      <c r="N3" s="10">
        <v>900.654451</v>
      </c>
      <c r="O3" s="11">
        <v>1036.1293</v>
      </c>
      <c r="P3" s="11">
        <v>32.54813</v>
      </c>
      <c r="Q3" s="12">
        <f t="shared" ref="Q3:Q12" si="3">1000/P3</f>
        <v>30.7237312865593</v>
      </c>
      <c r="R3" s="10">
        <v>924.394972</v>
      </c>
      <c r="S3" s="11">
        <v>1073.66032</v>
      </c>
      <c r="T3" s="11">
        <v>30.7770381</v>
      </c>
      <c r="U3" s="12">
        <f t="shared" ref="U3:U12" si="4">1000/T3</f>
        <v>32.4917555987949</v>
      </c>
      <c r="V3" s="10">
        <v>878.088522</v>
      </c>
      <c r="W3" s="11">
        <v>1166.44153</v>
      </c>
      <c r="X3" s="11">
        <v>32.625948</v>
      </c>
      <c r="Y3" s="12">
        <f t="shared" ref="Y3:Y12" si="5">1000/X3</f>
        <v>30.6504503715877</v>
      </c>
    </row>
    <row r="4" spans="1:25">
      <c r="A4" t="str">
        <f t="shared" si="0"/>
        <v>I_1024_O_1024_C_64</v>
      </c>
      <c r="B4" s="9">
        <v>1024</v>
      </c>
      <c r="C4" s="9">
        <v>1024</v>
      </c>
      <c r="D4" s="9">
        <v>64</v>
      </c>
      <c r="E4" s="9">
        <v>256</v>
      </c>
      <c r="F4" s="10">
        <v>1425.76653</v>
      </c>
      <c r="G4" s="11">
        <v>3831.75312</v>
      </c>
      <c r="H4" s="11">
        <v>41.1627821</v>
      </c>
      <c r="I4" s="12">
        <f t="shared" si="1"/>
        <v>24.2937903849798</v>
      </c>
      <c r="J4" s="10">
        <v>1034.06173</v>
      </c>
      <c r="K4" s="11">
        <v>1684.93652</v>
      </c>
      <c r="L4" s="11">
        <v>58.0612176</v>
      </c>
      <c r="M4" s="12">
        <f t="shared" si="2"/>
        <v>17.2232006378041</v>
      </c>
      <c r="N4" s="10">
        <v>1099.26343</v>
      </c>
      <c r="O4" s="11">
        <v>1585.50939</v>
      </c>
      <c r="P4" s="11">
        <v>54.4783112</v>
      </c>
      <c r="Q4" s="12">
        <f t="shared" si="3"/>
        <v>18.3559287718889</v>
      </c>
      <c r="R4" s="10">
        <v>1089.38393</v>
      </c>
      <c r="S4" s="11">
        <v>1655.31958</v>
      </c>
      <c r="T4" s="11">
        <v>54.1558345</v>
      </c>
      <c r="U4" s="12">
        <f t="shared" si="4"/>
        <v>18.4652311100478</v>
      </c>
      <c r="V4" s="10">
        <v>1069.99695</v>
      </c>
      <c r="W4" s="11">
        <v>1664.13581</v>
      </c>
      <c r="X4" s="11">
        <v>54.9651784</v>
      </c>
      <c r="Y4" s="12">
        <f t="shared" si="5"/>
        <v>18.1933367471796</v>
      </c>
    </row>
    <row r="5" spans="1:25">
      <c r="A5" t="str">
        <f t="shared" si="0"/>
        <v>I_1024_O_1024_C_128</v>
      </c>
      <c r="B5" s="9">
        <v>1024</v>
      </c>
      <c r="C5" s="9">
        <v>1024</v>
      </c>
      <c r="D5" s="9">
        <v>128</v>
      </c>
      <c r="E5" s="9">
        <v>512</v>
      </c>
      <c r="F5" s="10">
        <v>1979.19712</v>
      </c>
      <c r="G5" s="11">
        <v>7251.09269</v>
      </c>
      <c r="H5" s="11">
        <v>57.6100388</v>
      </c>
      <c r="I5" s="12">
        <f t="shared" si="1"/>
        <v>17.3580858619384</v>
      </c>
      <c r="J5" s="10">
        <v>1385.39763</v>
      </c>
      <c r="K5" s="11">
        <v>2480.14451</v>
      </c>
      <c r="L5" s="11">
        <v>87.1748694</v>
      </c>
      <c r="M5" s="12">
        <f t="shared" si="2"/>
        <v>11.4711958490184</v>
      </c>
      <c r="N5" s="10">
        <v>1392.16059</v>
      </c>
      <c r="O5" s="11">
        <v>2523.18257</v>
      </c>
      <c r="P5" s="11">
        <v>86.0977904</v>
      </c>
      <c r="Q5" s="12">
        <f t="shared" si="3"/>
        <v>11.6146999284665</v>
      </c>
      <c r="R5" s="10">
        <v>1368.65758</v>
      </c>
      <c r="S5" s="11">
        <v>2507.47187</v>
      </c>
      <c r="T5" s="11">
        <v>87.1098117</v>
      </c>
      <c r="U5" s="12">
        <f t="shared" si="4"/>
        <v>11.479763077022</v>
      </c>
      <c r="V5" s="10">
        <v>738.962505</v>
      </c>
      <c r="W5" s="11">
        <v>2880.5136</v>
      </c>
      <c r="X5" s="11">
        <v>165.371656</v>
      </c>
      <c r="Y5" s="12">
        <f t="shared" si="5"/>
        <v>6.04698546406284</v>
      </c>
    </row>
    <row r="6" spans="1:25">
      <c r="A6" t="str">
        <f t="shared" si="0"/>
        <v>I_1024_O_1024_C_256</v>
      </c>
      <c r="B6" s="9">
        <v>1024</v>
      </c>
      <c r="C6" s="9">
        <v>1024</v>
      </c>
      <c r="D6" s="9">
        <v>256</v>
      </c>
      <c r="E6" s="9">
        <v>1024</v>
      </c>
      <c r="F6" s="10">
        <v>2716.64383</v>
      </c>
      <c r="G6" s="11">
        <v>11464.0228</v>
      </c>
      <c r="H6" s="11">
        <v>83.0477652</v>
      </c>
      <c r="I6" s="12">
        <f t="shared" si="1"/>
        <v>12.0412632127035</v>
      </c>
      <c r="J6" s="10">
        <v>1947.88978</v>
      </c>
      <c r="K6" s="11">
        <v>4076.75331</v>
      </c>
      <c r="L6" s="11">
        <v>125.158178</v>
      </c>
      <c r="M6" s="12">
        <f t="shared" si="2"/>
        <v>7.98988940219312</v>
      </c>
      <c r="N6" s="10">
        <v>308.512194</v>
      </c>
      <c r="O6" s="11">
        <v>7979.62215</v>
      </c>
      <c r="P6" s="11">
        <v>816.127346</v>
      </c>
      <c r="Q6" s="12">
        <f t="shared" si="3"/>
        <v>1.22529897435884</v>
      </c>
      <c r="R6" s="10"/>
      <c r="S6" s="11"/>
      <c r="T6" s="11"/>
      <c r="U6" s="12"/>
      <c r="V6" s="10"/>
      <c r="W6" s="11"/>
      <c r="X6" s="11"/>
      <c r="Y6" s="12"/>
    </row>
    <row r="7" spans="1:25">
      <c r="A7" t="str">
        <f t="shared" si="0"/>
        <v>I_1024_O_16384_C_8</v>
      </c>
      <c r="B7" s="9">
        <v>1024</v>
      </c>
      <c r="C7" s="9">
        <v>16384</v>
      </c>
      <c r="D7" s="9">
        <v>8</v>
      </c>
      <c r="E7" s="9">
        <v>16</v>
      </c>
      <c r="F7" s="10">
        <v>302.040709</v>
      </c>
      <c r="G7" s="11">
        <v>875.358056</v>
      </c>
      <c r="H7" s="11">
        <v>26.4343108</v>
      </c>
      <c r="I7" s="12">
        <f t="shared" si="1"/>
        <v>37.8296225525199</v>
      </c>
      <c r="J7" s="10">
        <v>379.119282</v>
      </c>
      <c r="K7" s="11">
        <v>756.278182</v>
      </c>
      <c r="L7" s="11">
        <v>20.6997589</v>
      </c>
      <c r="M7" s="12">
        <f t="shared" si="2"/>
        <v>48.3097414240897</v>
      </c>
      <c r="N7" s="10">
        <v>502.999385</v>
      </c>
      <c r="O7" s="11">
        <v>897.250561</v>
      </c>
      <c r="P7" s="11">
        <v>15.153411</v>
      </c>
      <c r="Q7" s="12">
        <f t="shared" si="3"/>
        <v>65.9917427172008</v>
      </c>
      <c r="R7" s="10">
        <v>548.18127</v>
      </c>
      <c r="S7" s="11">
        <v>786.903026</v>
      </c>
      <c r="T7" s="11">
        <v>13.7462476</v>
      </c>
      <c r="U7" s="12">
        <f t="shared" si="4"/>
        <v>72.7471255501029</v>
      </c>
      <c r="V7" s="10">
        <v>584.796263</v>
      </c>
      <c r="W7" s="11">
        <v>865.727419</v>
      </c>
      <c r="X7" s="11">
        <v>12.4349684</v>
      </c>
      <c r="Y7" s="12">
        <f t="shared" si="5"/>
        <v>80.4183788677742</v>
      </c>
    </row>
    <row r="8" spans="1:25">
      <c r="A8" t="str">
        <f t="shared" si="0"/>
        <v>I_1024_O_16384_C_32</v>
      </c>
      <c r="B8" s="9">
        <v>1024</v>
      </c>
      <c r="C8" s="9">
        <v>16384</v>
      </c>
      <c r="D8" s="9">
        <v>32</v>
      </c>
      <c r="E8" s="9">
        <v>64</v>
      </c>
      <c r="F8" s="10">
        <v>911.589915</v>
      </c>
      <c r="G8" s="11">
        <v>1970.73747</v>
      </c>
      <c r="H8" s="11">
        <v>34.9842723</v>
      </c>
      <c r="I8" s="12">
        <f t="shared" si="1"/>
        <v>28.58427328214</v>
      </c>
      <c r="J8" s="10">
        <v>1120.10143</v>
      </c>
      <c r="K8" s="11">
        <v>1374.13055</v>
      </c>
      <c r="L8" s="11">
        <v>27.5579198</v>
      </c>
      <c r="M8" s="12">
        <f t="shared" si="2"/>
        <v>36.2872091673625</v>
      </c>
      <c r="N8" s="10">
        <v>1354.14826</v>
      </c>
      <c r="O8" s="11">
        <v>1468.47424</v>
      </c>
      <c r="P8" s="11">
        <v>21.2518362</v>
      </c>
      <c r="Q8" s="12">
        <f t="shared" si="3"/>
        <v>47.0547575554907</v>
      </c>
      <c r="R8" s="10"/>
      <c r="S8" s="11"/>
      <c r="T8" s="11"/>
      <c r="U8" s="12"/>
      <c r="V8" s="10"/>
      <c r="W8" s="11"/>
      <c r="X8" s="11"/>
      <c r="Y8" s="12"/>
    </row>
    <row r="9" spans="1:25">
      <c r="A9" t="str">
        <f t="shared" si="0"/>
        <v>I_8192_O_1024_C_32</v>
      </c>
      <c r="B9" s="9">
        <v>8192</v>
      </c>
      <c r="C9" s="9">
        <v>1024</v>
      </c>
      <c r="D9" s="9">
        <v>32</v>
      </c>
      <c r="E9" s="9">
        <v>128</v>
      </c>
      <c r="F9" s="10">
        <v>598.21385</v>
      </c>
      <c r="G9" s="11">
        <v>6200.10121</v>
      </c>
      <c r="H9" s="11">
        <v>47.4179672</v>
      </c>
      <c r="I9" s="12">
        <f t="shared" si="1"/>
        <v>21.0890525058189</v>
      </c>
      <c r="J9" s="10">
        <v>581.653459</v>
      </c>
      <c r="K9" s="11">
        <v>4824.22006</v>
      </c>
      <c r="L9" s="11">
        <v>48.6660433</v>
      </c>
      <c r="M9" s="12">
        <f t="shared" si="2"/>
        <v>20.5482084055105</v>
      </c>
      <c r="N9" s="10">
        <v>624.837691</v>
      </c>
      <c r="O9" s="11">
        <v>3836.30581</v>
      </c>
      <c r="P9" s="11">
        <v>44.7044015</v>
      </c>
      <c r="Q9" s="12">
        <f t="shared" si="3"/>
        <v>22.3691620164068</v>
      </c>
      <c r="R9" s="10">
        <v>664.783518</v>
      </c>
      <c r="S9" s="11">
        <v>3792.04542</v>
      </c>
      <c r="T9" s="11">
        <v>42.2194256</v>
      </c>
      <c r="U9" s="12">
        <f t="shared" si="4"/>
        <v>23.6857793726118</v>
      </c>
      <c r="V9" s="10">
        <v>650.878076</v>
      </c>
      <c r="W9" s="11">
        <v>3895.73183</v>
      </c>
      <c r="X9" s="11">
        <v>43.0843237</v>
      </c>
      <c r="Y9" s="12">
        <f t="shared" si="5"/>
        <v>23.2102981809135</v>
      </c>
    </row>
    <row r="10" spans="1:25">
      <c r="A10" t="str">
        <f t="shared" si="0"/>
        <v>I_8192_O_1024_C_128</v>
      </c>
      <c r="B10" s="9">
        <v>8192</v>
      </c>
      <c r="C10" s="9">
        <v>1024</v>
      </c>
      <c r="D10" s="9">
        <v>128</v>
      </c>
      <c r="E10" s="9">
        <v>512</v>
      </c>
      <c r="F10" s="10">
        <v>1015.87012</v>
      </c>
      <c r="G10" s="11">
        <v>11989.6111</v>
      </c>
      <c r="H10" s="11">
        <v>114.099764</v>
      </c>
      <c r="I10" s="12">
        <f t="shared" si="1"/>
        <v>8.76426002073063</v>
      </c>
      <c r="J10" s="10">
        <v>888.804216</v>
      </c>
      <c r="K10" s="11">
        <v>11573.7886</v>
      </c>
      <c r="L10" s="11">
        <v>130.830382</v>
      </c>
      <c r="M10" s="12">
        <f t="shared" si="2"/>
        <v>7.6434845233426</v>
      </c>
      <c r="N10" s="10">
        <v>953.897456</v>
      </c>
      <c r="O10" s="11">
        <v>11210.5859</v>
      </c>
      <c r="P10" s="11">
        <v>120.184023</v>
      </c>
      <c r="Q10" s="12">
        <f t="shared" si="3"/>
        <v>8.32057352581715</v>
      </c>
      <c r="R10" s="10"/>
      <c r="S10" s="11"/>
      <c r="T10" s="11"/>
      <c r="U10" s="12"/>
      <c r="V10" s="10"/>
      <c r="W10" s="11"/>
      <c r="X10" s="11"/>
      <c r="Y10" s="12"/>
    </row>
    <row r="11" spans="1:25">
      <c r="A11" t="str">
        <f t="shared" si="0"/>
        <v>I_8192_O_16384_C_8</v>
      </c>
      <c r="B11" s="9">
        <v>8192</v>
      </c>
      <c r="C11" s="9">
        <v>16384</v>
      </c>
      <c r="D11" s="9">
        <v>8</v>
      </c>
      <c r="E11" s="9">
        <v>16</v>
      </c>
      <c r="F11" s="10">
        <v>296.43884</v>
      </c>
      <c r="G11" s="11">
        <v>3048.51657</v>
      </c>
      <c r="H11" s="11">
        <v>26.8011759</v>
      </c>
      <c r="I11" s="12">
        <f t="shared" si="1"/>
        <v>37.3117957111725</v>
      </c>
      <c r="J11" s="10">
        <v>365.413683</v>
      </c>
      <c r="K11" s="11">
        <v>2077.30837</v>
      </c>
      <c r="L11" s="11">
        <v>20.8973725</v>
      </c>
      <c r="M11" s="12">
        <f t="shared" si="2"/>
        <v>47.8529059095827</v>
      </c>
      <c r="N11" s="10">
        <v>510.84439</v>
      </c>
      <c r="O11" s="11">
        <v>2070.76232</v>
      </c>
      <c r="P11" s="11">
        <v>15.2567691</v>
      </c>
      <c r="Q11" s="12">
        <f t="shared" si="3"/>
        <v>65.5446768215166</v>
      </c>
      <c r="R11" s="10"/>
      <c r="S11" s="11"/>
      <c r="T11" s="11"/>
      <c r="U11" s="12"/>
      <c r="V11" s="10"/>
      <c r="W11" s="11"/>
      <c r="X11" s="11"/>
      <c r="Y11" s="12"/>
    </row>
    <row r="12" spans="1:25">
      <c r="A12" t="str">
        <f t="shared" si="0"/>
        <v>I_8192_O_16384_C_16</v>
      </c>
      <c r="B12" s="9">
        <v>8192</v>
      </c>
      <c r="C12" s="9">
        <v>16384</v>
      </c>
      <c r="D12" s="9">
        <v>16</v>
      </c>
      <c r="E12" s="9">
        <v>32</v>
      </c>
      <c r="F12" s="10">
        <v>551.647771</v>
      </c>
      <c r="G12" s="11">
        <v>5114.18469</v>
      </c>
      <c r="H12" s="11">
        <v>28.689837</v>
      </c>
      <c r="I12" s="12">
        <f t="shared" si="1"/>
        <v>34.855548325353</v>
      </c>
      <c r="J12" s="10">
        <v>647.148761</v>
      </c>
      <c r="K12" s="11">
        <v>3544.28861</v>
      </c>
      <c r="L12" s="11">
        <v>23.6997756</v>
      </c>
      <c r="M12" s="12">
        <f t="shared" si="2"/>
        <v>42.1944923394127</v>
      </c>
      <c r="N12" s="10">
        <v>782.799705</v>
      </c>
      <c r="O12" s="11">
        <v>3609.7064</v>
      </c>
      <c r="P12" s="11">
        <v>19.416829</v>
      </c>
      <c r="Q12" s="12">
        <f t="shared" si="3"/>
        <v>51.501715341882</v>
      </c>
      <c r="R12" s="10"/>
      <c r="S12" s="11"/>
      <c r="T12" s="11"/>
      <c r="U12" s="12"/>
      <c r="V12" s="10"/>
      <c r="W12" s="11"/>
      <c r="X12" s="11"/>
      <c r="Y12" s="12"/>
    </row>
  </sheetData>
  <sheetProtection formatCells="0" formatColumns="0" formatRows="0" insertRows="0" insertColumns="0" insertHyperlinks="0" deleteColumns="0" deleteRows="0" sort="0" autoFilter="0" pivotTables="0"/>
  <sortState ref="A2:Y12">
    <sortCondition ref="B4"/>
    <sortCondition ref="C4"/>
    <sortCondition ref="D4"/>
  </sortState>
  <mergeCells count="10">
    <mergeCell ref="F1:I1"/>
    <mergeCell ref="J1:M1"/>
    <mergeCell ref="N1:Q1"/>
    <mergeCell ref="R1:U1"/>
    <mergeCell ref="V1:Y1"/>
    <mergeCell ref="A1:A2"/>
    <mergeCell ref="B1:B2"/>
    <mergeCell ref="C1:C2"/>
    <mergeCell ref="D1:D2"/>
    <mergeCell ref="E1:E2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24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13" interlineOnOff="0" interlineColor="0" isDbSheet="0" isDashBoardSheet="0" isDbDashBoardSheet="0" isFlexPaperSheet="0">
      <cellprotection/>
      <appEtDbRelations/>
    </woSheetProps>
    <woSheetProps sheetStid="25" interlineOnOff="0" interlineColor="0" isDbSheet="0" isDashBoardSheet="0" isDbDashBoardSheet="0" isFlexPaperSheet="0">
      <cellprotection/>
      <appEtDbRelations/>
    </woSheetProps>
    <woSheetProps sheetStid="12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15" interlineOnOff="0" interlineColor="0" isDbSheet="0" isDashBoardSheet="0" isDbDashBoardSheet="0" isFlexPaperSheet="0">
      <cellprotection/>
      <appEtDbRelations/>
    </woSheetProps>
    <woSheetProps sheetStid="19" interlineOnOff="0" interlineColor="0" isDbSheet="0" isDashBoardSheet="0" isDbDashBoardSheet="0" isFlexPaperSheet="0">
      <cellprotection/>
      <appEtDbRelations/>
    </woSheetProps>
    <woSheetProps sheetStid="20" interlineOnOff="0" interlineColor="0" isDbSheet="0" isDashBoardSheet="0" isDbDashBoardSheet="0" isFlexPaperSheet="0">
      <cellprotection/>
      <appEtDbRelations/>
    </woSheetProps>
    <woSheetProps sheetStid="22" interlineOnOff="0" interlineColor="0" isDbSheet="0" isDashBoardSheet="0" isDbDashBoardSheet="0" isFlexPaperSheet="0">
      <cellprotection/>
      <appEtDbRelations/>
    </woSheetProps>
    <woSheetProps sheetStid="27" interlineOnOff="0" interlineColor="0" isDbSheet="0" isDashBoardSheet="0" isDbDashBoardSheet="0" isFlexPaperSheet="0">
      <cellprotection/>
      <appEtDbRelations/>
    </woSheetProps>
    <woSheetProps sheetStid="29" interlineOnOff="0" interlineColor="0" isDbSheet="0" isDashBoardSheet="0" isDbDashBoardSheet="0" isFlexPaperSheet="0">
      <cellprotection/>
      <appEtDbRelations/>
    </woSheetProps>
  </woSheetsProps>
  <woBookProps>
    <bookSettings fileId="543149642703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7"/>
  <pixelatorList sheetStid="2"/>
  <pixelatorList sheetStid="6"/>
  <pixelatorList sheetStid="24"/>
  <pixelatorList sheetStid="9"/>
  <pixelatorList sheetStid="11"/>
  <pixelatorList sheetStid="13"/>
  <pixelatorList sheetStid="25"/>
  <pixelatorList sheetStid="12"/>
  <pixelatorList sheetStid="8"/>
  <pixelatorList sheetStid="3"/>
  <pixelatorList sheetStid="4"/>
  <pixelatorList sheetStid="10"/>
  <pixelatorList sheetStid="15"/>
  <pixelatorList sheetStid="19"/>
  <pixelatorList sheetStid="20"/>
  <pixelatorList sheetStid="22"/>
  <pixelatorList sheetStid="27"/>
  <pixelatorList sheetStid="29"/>
  <pixelatorList sheetStid="30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WWO_wpscloud_20260819174756-ed9259823c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PPUZW810E性能测试</vt:lpstr>
      <vt:lpstr>海光BW1000性能测试</vt:lpstr>
      <vt:lpstr>910B性能测试</vt:lpstr>
      <vt:lpstr>H200性能测试</vt:lpstr>
      <vt:lpstr>海光BW1000性能评测（第二次）</vt:lpstr>
      <vt:lpstr>沐曦C550性能测试</vt:lpstr>
      <vt:lpstr>沐曦C550(浪潮)性能测试</vt:lpstr>
      <vt:lpstr>昇腾910C（4物理卡）</vt:lpstr>
      <vt:lpstr>昇腾910C(8物理卡)</vt:lpstr>
      <vt:lpstr>摩尔S5000性能测试</vt:lpstr>
      <vt:lpstr>PPUZW80E_多机多卡</vt:lpstr>
      <vt:lpstr>对比</vt:lpstr>
      <vt:lpstr>适配性测试</vt:lpstr>
      <vt:lpstr>910B能耗测试</vt:lpstr>
      <vt:lpstr>昆仑芯P800性能测试</vt:lpstr>
      <vt:lpstr>寒武纪MLU590-M9DK性能测试</vt:lpstr>
      <vt:lpstr>寒武纪MLU590-M9DK dsv4-pro性能测试</vt:lpstr>
      <vt:lpstr>昆仑芯P800 1P1D性能测试</vt:lpstr>
      <vt:lpstr>Qwen3.8-27B 910B压测</vt:lpstr>
      <vt:lpstr>Qwen3.8-27B 910B MTP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shenchongwei</dc:creator>
  <cp:lastModifiedBy>沈崇玮</cp:lastModifiedBy>
  <dcterms:created xsi:type="dcterms:W3CDTF">2026-06-09T11:38:00Z</dcterms:created>
  <dcterms:modified xsi:type="dcterms:W3CDTF">2026-08-06T14:27:00Z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56550B6AC5223714B134146A7D2DEACC_41</vt:lpwstr>
  </property>
  <property fmtid="{D5CDD505-2E9C-101B-9397-08002B2CF9AE}" pid="3" name="KSOProductBuildVer">
    <vt:lpwstr>2052-12.9.0.28503</vt:lpwstr>
  </property>
  <property fmtid="{D5CDD505-2E9C-101B-9397-08002B2CF9AE}" pid="4" name="CalculationRule">
    <vt:i4>1</vt:i4>
  </property>
</Properties>
</file>